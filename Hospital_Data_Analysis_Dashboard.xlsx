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roject Work\Project 3\"/>
    </mc:Choice>
  </mc:AlternateContent>
  <bookViews>
    <workbookView xWindow="-110" yWindow="-110" windowWidth="23260" windowHeight="12460" firstSheet="1" activeTab="5"/>
  </bookViews>
  <sheets>
    <sheet name="Old_Patient_Records" sheetId="1" r:id="rId1"/>
    <sheet name="Updated_Records" sheetId="6" r:id="rId2"/>
    <sheet name="Doctor_Reference" sheetId="2" r:id="rId3"/>
    <sheet name="Lab_Results" sheetId="3" r:id="rId4"/>
    <sheet name="Pivot_Tables" sheetId="16" r:id="rId5"/>
    <sheet name="Dashboard" sheetId="19" r:id="rId6"/>
  </sheets>
  <definedNames>
    <definedName name="ExternalData_1" localSheetId="1" hidden="1">Updated_Records!$A$1:$T$541</definedName>
    <definedName name="Slicer_City">#N/A</definedName>
    <definedName name="Slicer_Department">#N/A</definedName>
  </definedNames>
  <calcPr calcId="162913"/>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19" l="1"/>
  <c r="F3" i="19" l="1"/>
  <c r="M3" i="19" l="1"/>
  <c r="I4" i="3" l="1"/>
  <c r="I2" i="3"/>
  <c r="I3"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Q528" i="6" l="1"/>
  <c r="Q488" i="6"/>
  <c r="Q291" i="6"/>
  <c r="Q540" i="6"/>
  <c r="Q423" i="6"/>
  <c r="Q532" i="6"/>
  <c r="Q520" i="6"/>
  <c r="Q535" i="6"/>
  <c r="Q527" i="6"/>
  <c r="Q519" i="6"/>
  <c r="Q511" i="6"/>
  <c r="Q503" i="6"/>
  <c r="Q495" i="6"/>
  <c r="Q487" i="6"/>
  <c r="Q483" i="6"/>
  <c r="Q475" i="6"/>
  <c r="Q467" i="6"/>
  <c r="Q463" i="6"/>
  <c r="Q459" i="6"/>
  <c r="Q455" i="6"/>
  <c r="Q451" i="6"/>
  <c r="Q447" i="6"/>
  <c r="Q443" i="6"/>
  <c r="Q439" i="6"/>
  <c r="Q435" i="6"/>
  <c r="Q431" i="6"/>
  <c r="Q427" i="6"/>
  <c r="Q411" i="6"/>
  <c r="Q387" i="6"/>
  <c r="Q367" i="6"/>
  <c r="Q363" i="6"/>
  <c r="Q359" i="6"/>
  <c r="Q355" i="6"/>
  <c r="Q351" i="6"/>
  <c r="Q347" i="6"/>
  <c r="Q343" i="6"/>
  <c r="Q339" i="6"/>
  <c r="Q332" i="6"/>
  <c r="Q324" i="6"/>
  <c r="Q316" i="6"/>
  <c r="Q308" i="6"/>
  <c r="Q295" i="6"/>
  <c r="Q419" i="6"/>
  <c r="Q415" i="6"/>
  <c r="Q403" i="6"/>
  <c r="Q395" i="6"/>
  <c r="Q383" i="6"/>
  <c r="Q375" i="6"/>
  <c r="Q538" i="6"/>
  <c r="Q518" i="6"/>
  <c r="Q510" i="6"/>
  <c r="Q502" i="6"/>
  <c r="Q498" i="6"/>
  <c r="Q494" i="6"/>
  <c r="Q490" i="6"/>
  <c r="Q486" i="6"/>
  <c r="Q482" i="6"/>
  <c r="Q478" i="6"/>
  <c r="Q474" i="6"/>
  <c r="Q470" i="6"/>
  <c r="Q466" i="6"/>
  <c r="Q462" i="6"/>
  <c r="Q458" i="6"/>
  <c r="Q454" i="6"/>
  <c r="Q450" i="6"/>
  <c r="Q446" i="6"/>
  <c r="Q442" i="6"/>
  <c r="Q438" i="6"/>
  <c r="Q434" i="6"/>
  <c r="Q430" i="6"/>
  <c r="Q426" i="6"/>
  <c r="Q422" i="6"/>
  <c r="Q418" i="6"/>
  <c r="Q414" i="6"/>
  <c r="Q410" i="6"/>
  <c r="Q406" i="6"/>
  <c r="Q402" i="6"/>
  <c r="Q398" i="6"/>
  <c r="Q394" i="6"/>
  <c r="Q390" i="6"/>
  <c r="Q386" i="6"/>
  <c r="Q382" i="6"/>
  <c r="Q378" i="6"/>
  <c r="Q374" i="6"/>
  <c r="Q370" i="6"/>
  <c r="Q366" i="6"/>
  <c r="Q362" i="6"/>
  <c r="Q358" i="6"/>
  <c r="Q354" i="6"/>
  <c r="Q350" i="6"/>
  <c r="Q346" i="6"/>
  <c r="Q342" i="6"/>
  <c r="Q337" i="6"/>
  <c r="Q331" i="6"/>
  <c r="Q323" i="6"/>
  <c r="Q315" i="6"/>
  <c r="Q307" i="6"/>
  <c r="Q536" i="6"/>
  <c r="Q524" i="6"/>
  <c r="Q539" i="6"/>
  <c r="Q531" i="6"/>
  <c r="Q523" i="6"/>
  <c r="Q515" i="6"/>
  <c r="Q507" i="6"/>
  <c r="Q499" i="6"/>
  <c r="Q491" i="6"/>
  <c r="Q479" i="6"/>
  <c r="Q471" i="6"/>
  <c r="Q407" i="6"/>
  <c r="Q399" i="6"/>
  <c r="Q391" i="6"/>
  <c r="Q379" i="6"/>
  <c r="Q371" i="6"/>
  <c r="Q2" i="6"/>
  <c r="Q6" i="6"/>
  <c r="Q10" i="6"/>
  <c r="Q14" i="6"/>
  <c r="Q18" i="6"/>
  <c r="Q22" i="6"/>
  <c r="Q26" i="6"/>
  <c r="Q30" i="6"/>
  <c r="Q34" i="6"/>
  <c r="Q38" i="6"/>
  <c r="Q42" i="6"/>
  <c r="Q46" i="6"/>
  <c r="Q50" i="6"/>
  <c r="Q54" i="6"/>
  <c r="Q58" i="6"/>
  <c r="Q62" i="6"/>
  <c r="Q66" i="6"/>
  <c r="Q70" i="6"/>
  <c r="Q74" i="6"/>
  <c r="Q78" i="6"/>
  <c r="Q82" i="6"/>
  <c r="Q86" i="6"/>
  <c r="Q90" i="6"/>
  <c r="Q94" i="6"/>
  <c r="Q98" i="6"/>
  <c r="Q102" i="6"/>
  <c r="Q106" i="6"/>
  <c r="Q110" i="6"/>
  <c r="Q114" i="6"/>
  <c r="Q118" i="6"/>
  <c r="Q122" i="6"/>
  <c r="Q126" i="6"/>
  <c r="Q130" i="6"/>
  <c r="Q134" i="6"/>
  <c r="Q138" i="6"/>
  <c r="Q142" i="6"/>
  <c r="Q146" i="6"/>
  <c r="Q150" i="6"/>
  <c r="Q154" i="6"/>
  <c r="Q158" i="6"/>
  <c r="Q162" i="6"/>
  <c r="Q166" i="6"/>
  <c r="Q170" i="6"/>
  <c r="Q174" i="6"/>
  <c r="Q178" i="6"/>
  <c r="Q182" i="6"/>
  <c r="Q186" i="6"/>
  <c r="Q190" i="6"/>
  <c r="Q194" i="6"/>
  <c r="Q198" i="6"/>
  <c r="Q202" i="6"/>
  <c r="Q206" i="6"/>
  <c r="Q210" i="6"/>
  <c r="Q214" i="6"/>
  <c r="Q218" i="6"/>
  <c r="Q222" i="6"/>
  <c r="Q226" i="6"/>
  <c r="Q230" i="6"/>
  <c r="Q234" i="6"/>
  <c r="Q238" i="6"/>
  <c r="Q242" i="6"/>
  <c r="Q246" i="6"/>
  <c r="Q250" i="6"/>
  <c r="Q254" i="6"/>
  <c r="Q258" i="6"/>
  <c r="Q262" i="6"/>
  <c r="Q266" i="6"/>
  <c r="Q270" i="6"/>
  <c r="Q274" i="6"/>
  <c r="Q278" i="6"/>
  <c r="Q282" i="6"/>
  <c r="Q286" i="6"/>
  <c r="Q290" i="6"/>
  <c r="Q294" i="6"/>
  <c r="Q298" i="6"/>
  <c r="Q302" i="6"/>
  <c r="Q306" i="6"/>
  <c r="Q310" i="6"/>
  <c r="Q314" i="6"/>
  <c r="Q318" i="6"/>
  <c r="Q322" i="6"/>
  <c r="Q326" i="6"/>
  <c r="Q330" i="6"/>
  <c r="Q334" i="6"/>
  <c r="Q338" i="6"/>
  <c r="Q3" i="6"/>
  <c r="Q7" i="6"/>
  <c r="Q11" i="6"/>
  <c r="Q15" i="6"/>
  <c r="Q19" i="6"/>
  <c r="Q23" i="6"/>
  <c r="Q27" i="6"/>
  <c r="Q31" i="6"/>
  <c r="Q35" i="6"/>
  <c r="Q39" i="6"/>
  <c r="Q43" i="6"/>
  <c r="Q47" i="6"/>
  <c r="Q51" i="6"/>
  <c r="Q55" i="6"/>
  <c r="Q59" i="6"/>
  <c r="Q63" i="6"/>
  <c r="Q67" i="6"/>
  <c r="Q71" i="6"/>
  <c r="Q75" i="6"/>
  <c r="Q79" i="6"/>
  <c r="Q83" i="6"/>
  <c r="Q87" i="6"/>
  <c r="Q91" i="6"/>
  <c r="Q95" i="6"/>
  <c r="Q99" i="6"/>
  <c r="Q103" i="6"/>
  <c r="Q107" i="6"/>
  <c r="Q111" i="6"/>
  <c r="Q115" i="6"/>
  <c r="Q119" i="6"/>
  <c r="Q123" i="6"/>
  <c r="Q127" i="6"/>
  <c r="Q131" i="6"/>
  <c r="Q135" i="6"/>
  <c r="Q139" i="6"/>
  <c r="Q143" i="6"/>
  <c r="Q147" i="6"/>
  <c r="Q151" i="6"/>
  <c r="Q155" i="6"/>
  <c r="Q159" i="6"/>
  <c r="Q163" i="6"/>
  <c r="Q167" i="6"/>
  <c r="Q171" i="6"/>
  <c r="Q175" i="6"/>
  <c r="Q179" i="6"/>
  <c r="Q183" i="6"/>
  <c r="Q187" i="6"/>
  <c r="Q191" i="6"/>
  <c r="Q195" i="6"/>
  <c r="Q199" i="6"/>
  <c r="Q203" i="6"/>
  <c r="Q207" i="6"/>
  <c r="Q211" i="6"/>
  <c r="Q215" i="6"/>
  <c r="Q219" i="6"/>
  <c r="Q223" i="6"/>
  <c r="Q227" i="6"/>
  <c r="Q231" i="6"/>
  <c r="Q235" i="6"/>
  <c r="Q239" i="6"/>
  <c r="Q243" i="6"/>
  <c r="Q247" i="6"/>
  <c r="Q251" i="6"/>
  <c r="Q255" i="6"/>
  <c r="Q259" i="6"/>
  <c r="Q263" i="6"/>
  <c r="Q267" i="6"/>
  <c r="Q271" i="6"/>
  <c r="Q275" i="6"/>
  <c r="Q279" i="6"/>
  <c r="Q4" i="6"/>
  <c r="Q8" i="6"/>
  <c r="Q12" i="6"/>
  <c r="Q16" i="6"/>
  <c r="Q20" i="6"/>
  <c r="Q24" i="6"/>
  <c r="Q28" i="6"/>
  <c r="Q32" i="6"/>
  <c r="Q36" i="6"/>
  <c r="Q40" i="6"/>
  <c r="Q44" i="6"/>
  <c r="Q48" i="6"/>
  <c r="Q52" i="6"/>
  <c r="Q56" i="6"/>
  <c r="Q60" i="6"/>
  <c r="Q64" i="6"/>
  <c r="Q68" i="6"/>
  <c r="Q72" i="6"/>
  <c r="Q76" i="6"/>
  <c r="Q80" i="6"/>
  <c r="Q84" i="6"/>
  <c r="Q88" i="6"/>
  <c r="Q92" i="6"/>
  <c r="Q96" i="6"/>
  <c r="Q100" i="6"/>
  <c r="Q104" i="6"/>
  <c r="Q108" i="6"/>
  <c r="Q112" i="6"/>
  <c r="Q116" i="6"/>
  <c r="Q120" i="6"/>
  <c r="Q124" i="6"/>
  <c r="Q128" i="6"/>
  <c r="Q132" i="6"/>
  <c r="Q136" i="6"/>
  <c r="Q140" i="6"/>
  <c r="Q144" i="6"/>
  <c r="Q148" i="6"/>
  <c r="Q152" i="6"/>
  <c r="Q156" i="6"/>
  <c r="Q160" i="6"/>
  <c r="Q164" i="6"/>
  <c r="Q168" i="6"/>
  <c r="Q172" i="6"/>
  <c r="Q176" i="6"/>
  <c r="Q180" i="6"/>
  <c r="Q184" i="6"/>
  <c r="Q188" i="6"/>
  <c r="Q192" i="6"/>
  <c r="Q196" i="6"/>
  <c r="Q200" i="6"/>
  <c r="Q204" i="6"/>
  <c r="Q208" i="6"/>
  <c r="Q212" i="6"/>
  <c r="Q216" i="6"/>
  <c r="Q220" i="6"/>
  <c r="Q224" i="6"/>
  <c r="Q228" i="6"/>
  <c r="Q232" i="6"/>
  <c r="Q236" i="6"/>
  <c r="Q240" i="6"/>
  <c r="Q244" i="6"/>
  <c r="Q248" i="6"/>
  <c r="Q252" i="6"/>
  <c r="Q256" i="6"/>
  <c r="Q260" i="6"/>
  <c r="Q264" i="6"/>
  <c r="Q268" i="6"/>
  <c r="Q272" i="6"/>
  <c r="Q276" i="6"/>
  <c r="Q280" i="6"/>
  <c r="Q284" i="6"/>
  <c r="Q288" i="6"/>
  <c r="Q292" i="6"/>
  <c r="Q296" i="6"/>
  <c r="Q300" i="6"/>
  <c r="Q304" i="6"/>
  <c r="Q5" i="6"/>
  <c r="Q9" i="6"/>
  <c r="Q13" i="6"/>
  <c r="Q17" i="6"/>
  <c r="Q21" i="6"/>
  <c r="Q25" i="6"/>
  <c r="Q29" i="6"/>
  <c r="Q33" i="6"/>
  <c r="Q37" i="6"/>
  <c r="Q41" i="6"/>
  <c r="Q45" i="6"/>
  <c r="Q49" i="6"/>
  <c r="Q53" i="6"/>
  <c r="Q57" i="6"/>
  <c r="Q61" i="6"/>
  <c r="Q65" i="6"/>
  <c r="Q69" i="6"/>
  <c r="Q73" i="6"/>
  <c r="Q77" i="6"/>
  <c r="Q81" i="6"/>
  <c r="Q85" i="6"/>
  <c r="Q89" i="6"/>
  <c r="Q93" i="6"/>
  <c r="Q97" i="6"/>
  <c r="Q101" i="6"/>
  <c r="Q105" i="6"/>
  <c r="Q109" i="6"/>
  <c r="Q113" i="6"/>
  <c r="Q117" i="6"/>
  <c r="Q121" i="6"/>
  <c r="Q125" i="6"/>
  <c r="Q129" i="6"/>
  <c r="Q133" i="6"/>
  <c r="Q137" i="6"/>
  <c r="Q141" i="6"/>
  <c r="Q145" i="6"/>
  <c r="Q149" i="6"/>
  <c r="Q153" i="6"/>
  <c r="Q157" i="6"/>
  <c r="Q161" i="6"/>
  <c r="Q165" i="6"/>
  <c r="Q169" i="6"/>
  <c r="Q173" i="6"/>
  <c r="Q177" i="6"/>
  <c r="Q181" i="6"/>
  <c r="Q185" i="6"/>
  <c r="Q189" i="6"/>
  <c r="Q193" i="6"/>
  <c r="Q197" i="6"/>
  <c r="Q201" i="6"/>
  <c r="Q205" i="6"/>
  <c r="Q209" i="6"/>
  <c r="Q213" i="6"/>
  <c r="Q217" i="6"/>
  <c r="Q221" i="6"/>
  <c r="Q225" i="6"/>
  <c r="Q229" i="6"/>
  <c r="Q233" i="6"/>
  <c r="Q237" i="6"/>
  <c r="Q241" i="6"/>
  <c r="Q245" i="6"/>
  <c r="Q249" i="6"/>
  <c r="Q253" i="6"/>
  <c r="Q257" i="6"/>
  <c r="Q261" i="6"/>
  <c r="Q265" i="6"/>
  <c r="Q269" i="6"/>
  <c r="Q273" i="6"/>
  <c r="Q277" i="6"/>
  <c r="Q281" i="6"/>
  <c r="Q285" i="6"/>
  <c r="Q289" i="6"/>
  <c r="Q293" i="6"/>
  <c r="Q297" i="6"/>
  <c r="Q301" i="6"/>
  <c r="Q305" i="6"/>
  <c r="Q309" i="6"/>
  <c r="Q313" i="6"/>
  <c r="Q317" i="6"/>
  <c r="Q321" i="6"/>
  <c r="Q325" i="6"/>
  <c r="Q329" i="6"/>
  <c r="Q333" i="6"/>
  <c r="Q534" i="6"/>
  <c r="Q530" i="6"/>
  <c r="Q526" i="6"/>
  <c r="Q522" i="6"/>
  <c r="Q514" i="6"/>
  <c r="Q506" i="6"/>
  <c r="Q541" i="6"/>
  <c r="Q537" i="6"/>
  <c r="Q533" i="6"/>
  <c r="Q529" i="6"/>
  <c r="Q525" i="6"/>
  <c r="Q521" i="6"/>
  <c r="Q517" i="6"/>
  <c r="Q513" i="6"/>
  <c r="Q509" i="6"/>
  <c r="Q505" i="6"/>
  <c r="Q501" i="6"/>
  <c r="Q497" i="6"/>
  <c r="Q493" i="6"/>
  <c r="Q489" i="6"/>
  <c r="Q485" i="6"/>
  <c r="Q481" i="6"/>
  <c r="Q477" i="6"/>
  <c r="Q473" i="6"/>
  <c r="Q469" i="6"/>
  <c r="Q465" i="6"/>
  <c r="Q461" i="6"/>
  <c r="Q457" i="6"/>
  <c r="Q453" i="6"/>
  <c r="Q449" i="6"/>
  <c r="Q445" i="6"/>
  <c r="Q441" i="6"/>
  <c r="Q437" i="6"/>
  <c r="Q433" i="6"/>
  <c r="Q429" i="6"/>
  <c r="Q425" i="6"/>
  <c r="Q421" i="6"/>
  <c r="Q417" i="6"/>
  <c r="Q413" i="6"/>
  <c r="Q409" i="6"/>
  <c r="Q405" i="6"/>
  <c r="Q401" i="6"/>
  <c r="Q397" i="6"/>
  <c r="Q393" i="6"/>
  <c r="Q389" i="6"/>
  <c r="Q385" i="6"/>
  <c r="Q381" i="6"/>
  <c r="Q377" i="6"/>
  <c r="Q373" i="6"/>
  <c r="Q369" i="6"/>
  <c r="Q365" i="6"/>
  <c r="Q361" i="6"/>
  <c r="Q357" i="6"/>
  <c r="Q353" i="6"/>
  <c r="Q349" i="6"/>
  <c r="Q345" i="6"/>
  <c r="Q341" i="6"/>
  <c r="Q336" i="6"/>
  <c r="Q328" i="6"/>
  <c r="Q320" i="6"/>
  <c r="Q312" i="6"/>
  <c r="Q303" i="6"/>
  <c r="Q287" i="6"/>
  <c r="Q516" i="6"/>
  <c r="Q512" i="6"/>
  <c r="Q508" i="6"/>
  <c r="Q504" i="6"/>
  <c r="Q500" i="6"/>
  <c r="Q496" i="6"/>
  <c r="Q492" i="6"/>
  <c r="Q484" i="6"/>
  <c r="Q480" i="6"/>
  <c r="Q476" i="6"/>
  <c r="Q472" i="6"/>
  <c r="Q468" i="6"/>
  <c r="Q464" i="6"/>
  <c r="Q460" i="6"/>
  <c r="Q456" i="6"/>
  <c r="Q452" i="6"/>
  <c r="Q448" i="6"/>
  <c r="Q444" i="6"/>
  <c r="Q440" i="6"/>
  <c r="Q436" i="6"/>
  <c r="Q432" i="6"/>
  <c r="Q428" i="6"/>
  <c r="Q424" i="6"/>
  <c r="Q420" i="6"/>
  <c r="Q416" i="6"/>
  <c r="Q412" i="6"/>
  <c r="Q408" i="6"/>
  <c r="Q404" i="6"/>
  <c r="Q400" i="6"/>
  <c r="Q396" i="6"/>
  <c r="Q392" i="6"/>
  <c r="Q388" i="6"/>
  <c r="Q384" i="6"/>
  <c r="Q380" i="6"/>
  <c r="Q376" i="6"/>
  <c r="Q372" i="6"/>
  <c r="Q368" i="6"/>
  <c r="Q364" i="6"/>
  <c r="Q360" i="6"/>
  <c r="Q356" i="6"/>
  <c r="Q352" i="6"/>
  <c r="Q348" i="6"/>
  <c r="Q344" i="6"/>
  <c r="Q340" i="6"/>
  <c r="Q335" i="6"/>
  <c r="Q327" i="6"/>
  <c r="Q319" i="6"/>
  <c r="Q311" i="6"/>
  <c r="Q299" i="6"/>
  <c r="Q283" i="6"/>
</calcChain>
</file>

<file path=xl/connections.xml><?xml version="1.0" encoding="utf-8"?>
<connections xmlns="http://schemas.openxmlformats.org/spreadsheetml/2006/main">
  <connection id="1"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<sst xmlns="http://schemas.openxmlformats.org/spreadsheetml/2006/main" count="14472" uniqueCount="2570">
  <si>
    <t>Patient_ID</t>
  </si>
  <si>
    <t>Patient_Name</t>
  </si>
  <si>
    <t>Age</t>
  </si>
  <si>
    <t>Gender</t>
  </si>
  <si>
    <t>City</t>
  </si>
  <si>
    <t>Blood_Group</t>
  </si>
  <si>
    <t>Diagnosis</t>
  </si>
  <si>
    <t>Height_cm</t>
  </si>
  <si>
    <t>Weight_kg</t>
  </si>
  <si>
    <t>Smoking_Status</t>
  </si>
  <si>
    <t>Has_Insurance</t>
  </si>
  <si>
    <t>Department</t>
  </si>
  <si>
    <t>Admission_Date</t>
  </si>
  <si>
    <t>Bill_Amount</t>
  </si>
  <si>
    <t>PT-1330</t>
  </si>
  <si>
    <t>Myra Perez</t>
  </si>
  <si>
    <t>Los Angeles</t>
  </si>
  <si>
    <t>O+</t>
  </si>
  <si>
    <t>Depression</t>
  </si>
  <si>
    <t>Yes</t>
  </si>
  <si>
    <t>no</t>
  </si>
  <si>
    <t>cardiology</t>
  </si>
  <si>
    <t>15-Mar-2021</t>
  </si>
  <si>
    <t>PT-1367</t>
  </si>
  <si>
    <t>Mumbai</t>
  </si>
  <si>
    <t>Bronchitis</t>
  </si>
  <si>
    <t xml:space="preserve">Cardiology </t>
  </si>
  <si>
    <t>27-Feb-2021</t>
  </si>
  <si>
    <t>PT-1405</t>
  </si>
  <si>
    <t>Male</t>
  </si>
  <si>
    <t>0</t>
  </si>
  <si>
    <t>Pediatrics</t>
  </si>
  <si>
    <t>31.03.2023</t>
  </si>
  <si>
    <t>PT-1247</t>
  </si>
  <si>
    <t>Kiara Hussain</t>
  </si>
  <si>
    <t>Diabetes Type 2</t>
  </si>
  <si>
    <t>Unknown</t>
  </si>
  <si>
    <t>19-Jul-2023</t>
  </si>
  <si>
    <t>PT-1503</t>
  </si>
  <si>
    <t>Juan Ali</t>
  </si>
  <si>
    <t>Anemia</t>
  </si>
  <si>
    <t>Never</t>
  </si>
  <si>
    <t>Endocrinology</t>
  </si>
  <si>
    <t>2021-04-04</t>
  </si>
  <si>
    <t>PT-1153</t>
  </si>
  <si>
    <t>Bengaluru</t>
  </si>
  <si>
    <t>N</t>
  </si>
  <si>
    <t>TRUE</t>
  </si>
  <si>
    <t>orthopedics</t>
  </si>
  <si>
    <t>18-Jan-2022</t>
  </si>
  <si>
    <t>PT-1081</t>
  </si>
  <si>
    <t>Hiroshi Wilson</t>
  </si>
  <si>
    <t>Other</t>
  </si>
  <si>
    <t>Ahmedabad</t>
  </si>
  <si>
    <t>Hypothyroidism</t>
  </si>
  <si>
    <t>Gastroenterology</t>
  </si>
  <si>
    <t>2022/11/23</t>
  </si>
  <si>
    <t>PT-1020</t>
  </si>
  <si>
    <t>Noor Sanchez</t>
  </si>
  <si>
    <t>Jaipur</t>
  </si>
  <si>
    <t>Tuberculosis</t>
  </si>
  <si>
    <t>Current</t>
  </si>
  <si>
    <t>FALSE</t>
  </si>
  <si>
    <t>14.12.2021</t>
  </si>
  <si>
    <t>PT-1156</t>
  </si>
  <si>
    <t>No</t>
  </si>
  <si>
    <t>2021/10/31</t>
  </si>
  <si>
    <t>PT-1008</t>
  </si>
  <si>
    <t>Mateo Williams</t>
  </si>
  <si>
    <t>Cardiology</t>
  </si>
  <si>
    <t>26.05.2021</t>
  </si>
  <si>
    <t>PT-1123</t>
  </si>
  <si>
    <t>Mateo Jones</t>
  </si>
  <si>
    <t>Kolkata</t>
  </si>
  <si>
    <t>Anxiety</t>
  </si>
  <si>
    <t>2023/06/23</t>
  </si>
  <si>
    <t>PT-1347</t>
  </si>
  <si>
    <t>Hiroshi Liu</t>
  </si>
  <si>
    <t>Houston</t>
  </si>
  <si>
    <t>B+</t>
  </si>
  <si>
    <t>Asthma</t>
  </si>
  <si>
    <t>29.04.2021</t>
  </si>
  <si>
    <t>PT-1411</t>
  </si>
  <si>
    <t>Diego Suzuki</t>
  </si>
  <si>
    <t>London</t>
  </si>
  <si>
    <t>Y</t>
  </si>
  <si>
    <t>Nephrology</t>
  </si>
  <si>
    <t>04.02.2022</t>
  </si>
  <si>
    <t>PT-1128</t>
  </si>
  <si>
    <t>Chennai</t>
  </si>
  <si>
    <t>Obesity</t>
  </si>
  <si>
    <t>17-Apr-2021</t>
  </si>
  <si>
    <t>PT-1342</t>
  </si>
  <si>
    <t>Anika Ramirez</t>
  </si>
  <si>
    <t>Former</t>
  </si>
  <si>
    <t>yes</t>
  </si>
  <si>
    <t>ENT</t>
  </si>
  <si>
    <t>03-01-2022</t>
  </si>
  <si>
    <t>PT-1252</t>
  </si>
  <si>
    <t>Kiara Gonzalez</t>
  </si>
  <si>
    <t>2023-08-30</t>
  </si>
  <si>
    <t>PT-1444</t>
  </si>
  <si>
    <t>Covid19</t>
  </si>
  <si>
    <t>Oncology</t>
  </si>
  <si>
    <t>2023/05/08</t>
  </si>
  <si>
    <t>PT-1058</t>
  </si>
  <si>
    <t>Aadhya Tanaka</t>
  </si>
  <si>
    <t>Orthopedics</t>
  </si>
  <si>
    <t>27.06.2023</t>
  </si>
  <si>
    <t>PT-1335</t>
  </si>
  <si>
    <t>Ming Mehta</t>
  </si>
  <si>
    <t>Hyderabad</t>
  </si>
  <si>
    <t>Heart Disease</t>
  </si>
  <si>
    <t>06/05/2023</t>
  </si>
  <si>
    <t>PT-1101</t>
  </si>
  <si>
    <t>Toronto</t>
  </si>
  <si>
    <t>2023-10-13</t>
  </si>
  <si>
    <t>PT-1075</t>
  </si>
  <si>
    <t>Hiroshi Davis</t>
  </si>
  <si>
    <t>Sydney</t>
  </si>
  <si>
    <t>O-</t>
  </si>
  <si>
    <t>21-Dec-2022</t>
  </si>
  <si>
    <t>PT-1499</t>
  </si>
  <si>
    <t>Li Williams</t>
  </si>
  <si>
    <t>Thyroid Disorder</t>
  </si>
  <si>
    <t>11-26-2023</t>
  </si>
  <si>
    <t>PT-1016</t>
  </si>
  <si>
    <t>12-Nov-2022</t>
  </si>
  <si>
    <t>PT-1227</t>
  </si>
  <si>
    <t>Li Perez</t>
  </si>
  <si>
    <t>Pune</t>
  </si>
  <si>
    <t>05-02-2023</t>
  </si>
  <si>
    <t>PT-1520</t>
  </si>
  <si>
    <t>Ahmed Ali</t>
  </si>
  <si>
    <t>B-</t>
  </si>
  <si>
    <t>01.04.2022</t>
  </si>
  <si>
    <t>PT-1141</t>
  </si>
  <si>
    <t>David Brown</t>
  </si>
  <si>
    <t>Female</t>
  </si>
  <si>
    <t>2023/03/23</t>
  </si>
  <si>
    <t>PT-1277</t>
  </si>
  <si>
    <t>A-</t>
  </si>
  <si>
    <t>1</t>
  </si>
  <si>
    <t>Dermatology</t>
  </si>
  <si>
    <t>23-Sep-2022</t>
  </si>
  <si>
    <t>PT-1368</t>
  </si>
  <si>
    <t>Delhi</t>
  </si>
  <si>
    <t>10-Mar-2021</t>
  </si>
  <si>
    <t>PT-1149</t>
  </si>
  <si>
    <t>Juan Sanchez</t>
  </si>
  <si>
    <t>10.12.2021</t>
  </si>
  <si>
    <t>PT-1392</t>
  </si>
  <si>
    <t>Michael Johnson</t>
  </si>
  <si>
    <t>28/01/2021</t>
  </si>
  <si>
    <t>PT-1458</t>
  </si>
  <si>
    <t>2023-03-08</t>
  </si>
  <si>
    <t>PT-1131</t>
  </si>
  <si>
    <t>Robert Zhang</t>
  </si>
  <si>
    <t>10/11/2023</t>
  </si>
  <si>
    <t>PT-1031</t>
  </si>
  <si>
    <t>Chronic Kidney Disease</t>
  </si>
  <si>
    <t>01-30-2022</t>
  </si>
  <si>
    <t>PT-1438</t>
  </si>
  <si>
    <t>Barbara Jones</t>
  </si>
  <si>
    <t>14/01/2022</t>
  </si>
  <si>
    <t>PT-1083</t>
  </si>
  <si>
    <t>John Chen</t>
  </si>
  <si>
    <t>2023/02/26</t>
  </si>
  <si>
    <t>PT-1343</t>
  </si>
  <si>
    <t>Saanvi Torres</t>
  </si>
  <si>
    <t>21/11/2021</t>
  </si>
  <si>
    <t>PT-1497</t>
  </si>
  <si>
    <t>14/02/2022</t>
  </si>
  <si>
    <t>PT-1406</t>
  </si>
  <si>
    <t>Wei Reddy</t>
  </si>
  <si>
    <t>General Medicine</t>
  </si>
  <si>
    <t>09/05/2022</t>
  </si>
  <si>
    <t>PT-1480</t>
  </si>
  <si>
    <t>Reyansh Patel</t>
  </si>
  <si>
    <t>2022-03-26</t>
  </si>
  <si>
    <t>PT-1386</t>
  </si>
  <si>
    <t>Carlos Rodriguez</t>
  </si>
  <si>
    <t>13/07/2023</t>
  </si>
  <si>
    <t>PT-1507</t>
  </si>
  <si>
    <t>Yuki Patel</t>
  </si>
  <si>
    <t>2021-04-27</t>
  </si>
  <si>
    <t>PT-1403</t>
  </si>
  <si>
    <t>Aarav Ramirez</t>
  </si>
  <si>
    <t>30.01.2023</t>
  </si>
  <si>
    <t>PT-1113</t>
  </si>
  <si>
    <t>Riya Khan</t>
  </si>
  <si>
    <t>Pneumonia</t>
  </si>
  <si>
    <t>06-Sep-2022</t>
  </si>
  <si>
    <t>PT-1144</t>
  </si>
  <si>
    <t>Pari Wilson</t>
  </si>
  <si>
    <t>2023/09/10</t>
  </si>
  <si>
    <t>PT-1461</t>
  </si>
  <si>
    <t>Susan Khan</t>
  </si>
  <si>
    <t>Diabetes</t>
  </si>
  <si>
    <t>Psychiatry</t>
  </si>
  <si>
    <t>15.06.2023</t>
  </si>
  <si>
    <t>PT-1200</t>
  </si>
  <si>
    <t>30.03.2021</t>
  </si>
  <si>
    <t>PT-1062</t>
  </si>
  <si>
    <t>Camila Zhang</t>
  </si>
  <si>
    <t>09.07.2023</t>
  </si>
  <si>
    <t>PT-1051</t>
  </si>
  <si>
    <t>Hiroshi Reddy</t>
  </si>
  <si>
    <t>Hypertension</t>
  </si>
  <si>
    <t>2021-09-03</t>
  </si>
  <si>
    <t>PT-1345</t>
  </si>
  <si>
    <t>Noor Reddy</t>
  </si>
  <si>
    <t>01-15-2023</t>
  </si>
  <si>
    <t>PT-1353</t>
  </si>
  <si>
    <t>2022-08-17</t>
  </si>
  <si>
    <t>PT-1431</t>
  </si>
  <si>
    <t>Kiara Nair</t>
  </si>
  <si>
    <t>New York</t>
  </si>
  <si>
    <t>08-25-2023</t>
  </si>
  <si>
    <t>PT-1041</t>
  </si>
  <si>
    <t>Wei Zhang</t>
  </si>
  <si>
    <t>20-Feb-2023</t>
  </si>
  <si>
    <t>PT-1510</t>
  </si>
  <si>
    <t>John Kumar</t>
  </si>
  <si>
    <t>2023/06/21</t>
  </si>
  <si>
    <t>PT-1320</t>
  </si>
  <si>
    <t>Neurology</t>
  </si>
  <si>
    <t>17/05/2023</t>
  </si>
  <si>
    <t>PT-1157</t>
  </si>
  <si>
    <t>Saanvi Ibrahim</t>
  </si>
  <si>
    <t>Chicago</t>
  </si>
  <si>
    <t>2022/11/13</t>
  </si>
  <si>
    <t>PT-1057</t>
  </si>
  <si>
    <t>Vivaan Torres</t>
  </si>
  <si>
    <t>2023-04-01</t>
  </si>
  <si>
    <t>PT-1389</t>
  </si>
  <si>
    <t>01-30-2021</t>
  </si>
  <si>
    <t>PT-1419</t>
  </si>
  <si>
    <t>07-02-2021</t>
  </si>
  <si>
    <t>PT-1043</t>
  </si>
  <si>
    <t>Ana Rodriguez</t>
  </si>
  <si>
    <t>25-Jul-2021</t>
  </si>
  <si>
    <t>PT-1027</t>
  </si>
  <si>
    <t>Jose Nair</t>
  </si>
  <si>
    <t>2022/10/01</t>
  </si>
  <si>
    <t>PT-1299</t>
  </si>
  <si>
    <t>Susan Sanchez</t>
  </si>
  <si>
    <t>06/01/2021</t>
  </si>
  <si>
    <t>PT-1181</t>
  </si>
  <si>
    <t>John Martinez</t>
  </si>
  <si>
    <t>2022/12/23</t>
  </si>
  <si>
    <t>PT-1284</t>
  </si>
  <si>
    <t>Patricia Williams</t>
  </si>
  <si>
    <t>2023-09-20</t>
  </si>
  <si>
    <t>PT-1053</t>
  </si>
  <si>
    <t>Omar Reddy</t>
  </si>
  <si>
    <t>2023-06-28</t>
  </si>
  <si>
    <t>PT-1267</t>
  </si>
  <si>
    <t>Ming Lopez</t>
  </si>
  <si>
    <t>2021/12/13</t>
  </si>
  <si>
    <t>PT-1035</t>
  </si>
  <si>
    <t>Layla Lopez</t>
  </si>
  <si>
    <t>03/05/2021</t>
  </si>
  <si>
    <t>PT-1278</t>
  </si>
  <si>
    <t>29.09.2023</t>
  </si>
  <si>
    <t>PT-1328</t>
  </si>
  <si>
    <t>Linda Torres</t>
  </si>
  <si>
    <t>12-Sep-2022</t>
  </si>
  <si>
    <t>PT-1261</t>
  </si>
  <si>
    <t>Jose Kumar</t>
  </si>
  <si>
    <t>02-16-2023</t>
  </si>
  <si>
    <t>PT-1161</t>
  </si>
  <si>
    <t>Aadhya Jones</t>
  </si>
  <si>
    <t>A+</t>
  </si>
  <si>
    <t>2022/06/01</t>
  </si>
  <si>
    <t>PT-1322</t>
  </si>
  <si>
    <t>Pari Miller</t>
  </si>
  <si>
    <t>04/07/2021</t>
  </si>
  <si>
    <t>PT-1466</t>
  </si>
  <si>
    <t>Valentina Iyer</t>
  </si>
  <si>
    <t>Arthritis</t>
  </si>
  <si>
    <t>17.02.2021</t>
  </si>
  <si>
    <t>PT-1036</t>
  </si>
  <si>
    <t>Barbara Nair</t>
  </si>
  <si>
    <t>12.02.2021</t>
  </si>
  <si>
    <t>PT-1090</t>
  </si>
  <si>
    <t>Kiara Wilson</t>
  </si>
  <si>
    <t>10-27-2021</t>
  </si>
  <si>
    <t>PT-1365</t>
  </si>
  <si>
    <t>Ahmed Gonzalez</t>
  </si>
  <si>
    <t>16/07/2022</t>
  </si>
  <si>
    <t>PT-1061</t>
  </si>
  <si>
    <t>John Smith</t>
  </si>
  <si>
    <t>14/11/2022</t>
  </si>
  <si>
    <t>PT-1015</t>
  </si>
  <si>
    <t>Allergy</t>
  </si>
  <si>
    <t>2023/01/27</t>
  </si>
  <si>
    <t>PT-1279</t>
  </si>
  <si>
    <t>22.11.2022</t>
  </si>
  <si>
    <t>PT-1373</t>
  </si>
  <si>
    <t>Valentina Wang</t>
  </si>
  <si>
    <t>2023-01-08</t>
  </si>
  <si>
    <t>PT-1210</t>
  </si>
  <si>
    <t>28-Nov-2023</t>
  </si>
  <si>
    <t>PT-1070</t>
  </si>
  <si>
    <t>James Garcia</t>
  </si>
  <si>
    <t>19-Aug-2023</t>
  </si>
  <si>
    <t>PT-1309</t>
  </si>
  <si>
    <t>Arjun Liu</t>
  </si>
  <si>
    <t>02.09.2023</t>
  </si>
  <si>
    <t>PT-1305</t>
  </si>
  <si>
    <t>Wei Nair</t>
  </si>
  <si>
    <t>12-14-2022</t>
  </si>
  <si>
    <t>PT-1185</t>
  </si>
  <si>
    <t>Myra Sharma</t>
  </si>
  <si>
    <t>13/12/2023</t>
  </si>
  <si>
    <t>PT-1034</t>
  </si>
  <si>
    <t>Noor Jones</t>
  </si>
  <si>
    <t>18/11/2021</t>
  </si>
  <si>
    <t>PT-1074</t>
  </si>
  <si>
    <t>03-03-2023</t>
  </si>
  <si>
    <t>PT-1460</t>
  </si>
  <si>
    <t>09-11-2022</t>
  </si>
  <si>
    <t>PT-1339</t>
  </si>
  <si>
    <t>Juan Williams</t>
  </si>
  <si>
    <t>27/08/2021</t>
  </si>
  <si>
    <t>PT-1346</t>
  </si>
  <si>
    <t>13/04/2022</t>
  </si>
  <si>
    <t>PT-1208</t>
  </si>
  <si>
    <t>Myra Garcia</t>
  </si>
  <si>
    <t>26.04.2022</t>
  </si>
  <si>
    <t>PT-1217</t>
  </si>
  <si>
    <t>04-25-2023</t>
  </si>
  <si>
    <t>PT-1241</t>
  </si>
  <si>
    <t>Patricia Anderson</t>
  </si>
  <si>
    <t>2022/04/18</t>
  </si>
  <si>
    <t>PT-1135</t>
  </si>
  <si>
    <t>PT-1024</t>
  </si>
  <si>
    <t>10-Mar-2023</t>
  </si>
  <si>
    <t>PT-1465</t>
  </si>
  <si>
    <t>2021/02/26</t>
  </si>
  <si>
    <t>PT-1298</t>
  </si>
  <si>
    <t>2023-02-09</t>
  </si>
  <si>
    <t>PT-1055</t>
  </si>
  <si>
    <t>Linda Chen</t>
  </si>
  <si>
    <t>07.11.2022</t>
  </si>
  <si>
    <t>PT-1490</t>
  </si>
  <si>
    <t>Omar Gonzalez</t>
  </si>
  <si>
    <t>07-19-2021</t>
  </si>
  <si>
    <t>PT-1473</t>
  </si>
  <si>
    <t>10-Jan-2021</t>
  </si>
  <si>
    <t>PT-1160</t>
  </si>
  <si>
    <t>Ming Suzuki</t>
  </si>
  <si>
    <t>07-05-2021</t>
  </si>
  <si>
    <t>PT-1044</t>
  </si>
  <si>
    <t>Vihaan Wilson</t>
  </si>
  <si>
    <t>05-Jun-2022</t>
  </si>
  <si>
    <t>PT-1169</t>
  </si>
  <si>
    <t>Saanvi Nair</t>
  </si>
  <si>
    <t>04-May-2023</t>
  </si>
  <si>
    <t>PT-1110</t>
  </si>
  <si>
    <t>Mateo Suzuki</t>
  </si>
  <si>
    <t>2021-04-20</t>
  </si>
  <si>
    <t>PT-1287</t>
  </si>
  <si>
    <t>Aditya Gupta</t>
  </si>
  <si>
    <t>23/03/2022</t>
  </si>
  <si>
    <t>PT-1049</t>
  </si>
  <si>
    <t>07-19-2023</t>
  </si>
  <si>
    <t>PT-1164</t>
  </si>
  <si>
    <t>Anika Rodriguez</t>
  </si>
  <si>
    <t>10.01.2022</t>
  </si>
  <si>
    <t>PT-1355</t>
  </si>
  <si>
    <t>Robert Lopez</t>
  </si>
  <si>
    <t>03-21-2023</t>
  </si>
  <si>
    <t>PT-1344</t>
  </si>
  <si>
    <t>Linda Nair</t>
  </si>
  <si>
    <t>16-Jun-2023</t>
  </si>
  <si>
    <t>PT-1093</t>
  </si>
  <si>
    <t>13/07/2022</t>
  </si>
  <si>
    <t>PT-1266</t>
  </si>
  <si>
    <t>Diego Perez</t>
  </si>
  <si>
    <t>2022/10/02</t>
  </si>
  <si>
    <t>PT-1437</t>
  </si>
  <si>
    <t>Patricia Flores</t>
  </si>
  <si>
    <t>22.02.2023</t>
  </si>
  <si>
    <t>PT-1150</t>
  </si>
  <si>
    <t>02-15-2023</t>
  </si>
  <si>
    <t>PT-1262</t>
  </si>
  <si>
    <t>Omar Sharma</t>
  </si>
  <si>
    <t>2022-12-07</t>
  </si>
  <si>
    <t>PT-1220</t>
  </si>
  <si>
    <t>Juan Flores</t>
  </si>
  <si>
    <t>08/10/2023</t>
  </si>
  <si>
    <t>PT-1469</t>
  </si>
  <si>
    <t>Ishaan Brown</t>
  </si>
  <si>
    <t>26-Aug-2022</t>
  </si>
  <si>
    <t>PT-1496</t>
  </si>
  <si>
    <t>David Ramirez</t>
  </si>
  <si>
    <t>2022-04-30</t>
  </si>
  <si>
    <t>PT-1059</t>
  </si>
  <si>
    <t>Ming Nair</t>
  </si>
  <si>
    <t>10-09-2021</t>
  </si>
  <si>
    <t>PT-1170</t>
  </si>
  <si>
    <t>Juan Sharma</t>
  </si>
  <si>
    <t>2022/06/23</t>
  </si>
  <si>
    <t>PT-1476</t>
  </si>
  <si>
    <t>Myra Wang</t>
  </si>
  <si>
    <t>2021/09/08</t>
  </si>
  <si>
    <t>PT-1167</t>
  </si>
  <si>
    <t>Krishna Flores</t>
  </si>
  <si>
    <t>25/05/2022</t>
  </si>
  <si>
    <t>PT-1165</t>
  </si>
  <si>
    <t>Kiara Khan</t>
  </si>
  <si>
    <t>04-Sep-2022</t>
  </si>
  <si>
    <t>PT-1233</t>
  </si>
  <si>
    <t>19-Jun-2021</t>
  </si>
  <si>
    <t>PT-1151</t>
  </si>
  <si>
    <t>Migraine</t>
  </si>
  <si>
    <t>16.09.2023</t>
  </si>
  <si>
    <t>PT-1197</t>
  </si>
  <si>
    <t>Layla Sharma</t>
  </si>
  <si>
    <t>08-Sep-2023</t>
  </si>
  <si>
    <t>PT-1106</t>
  </si>
  <si>
    <t>Li Johnson</t>
  </si>
  <si>
    <t>19/01/2021</t>
  </si>
  <si>
    <t>PT-1196</t>
  </si>
  <si>
    <t>2022/04/02</t>
  </si>
  <si>
    <t>PT-1536</t>
  </si>
  <si>
    <t>Hiroshi Ramirez</t>
  </si>
  <si>
    <t>28/10/2021</t>
  </si>
  <si>
    <t>PT-1388</t>
  </si>
  <si>
    <t>Saanvi Verma</t>
  </si>
  <si>
    <t>12.03.2021</t>
  </si>
  <si>
    <t>PT-1230</t>
  </si>
  <si>
    <t>Fatima Miller</t>
  </si>
  <si>
    <t>2022-10-07</t>
  </si>
  <si>
    <t>PT-1337</t>
  </si>
  <si>
    <t>2022-01-15</t>
  </si>
  <si>
    <t>PT-1111</t>
  </si>
  <si>
    <t>Layla Suzuki</t>
  </si>
  <si>
    <t>20.05.2022</t>
  </si>
  <si>
    <t>PT-1487</t>
  </si>
  <si>
    <t>06-15-2021</t>
  </si>
  <si>
    <t>PT-1038</t>
  </si>
  <si>
    <t>John Miller</t>
  </si>
  <si>
    <t>16/04/2021</t>
  </si>
  <si>
    <t>PT-1519</t>
  </si>
  <si>
    <t>Anika Smith</t>
  </si>
  <si>
    <t>2022-02-04</t>
  </si>
  <si>
    <t>PT-1025</t>
  </si>
  <si>
    <t>Li Jones</t>
  </si>
  <si>
    <t>2021-02-25</t>
  </si>
  <si>
    <t>PT-1142</t>
  </si>
  <si>
    <t>Mary Hussain</t>
  </si>
  <si>
    <t>2021/06/22</t>
  </si>
  <si>
    <t>PT-1481</t>
  </si>
  <si>
    <t>13.08.2022</t>
  </si>
  <si>
    <t>PT-1506</t>
  </si>
  <si>
    <t>Juan Hussain</t>
  </si>
  <si>
    <t>23-Feb-2023</t>
  </si>
  <si>
    <t>PT-1064</t>
  </si>
  <si>
    <t>Valentina Gupta</t>
  </si>
  <si>
    <t>22/03/2021</t>
  </si>
  <si>
    <t>PT-1439</t>
  </si>
  <si>
    <t>2021/01/25</t>
  </si>
  <si>
    <t>PT-1270</t>
  </si>
  <si>
    <t>Mary Lopez</t>
  </si>
  <si>
    <t>2022/10/09</t>
  </si>
  <si>
    <t>PT-1146</t>
  </si>
  <si>
    <t>Anika Sanchez</t>
  </si>
  <si>
    <t>21-Jan-2022</t>
  </si>
  <si>
    <t>PT-1447</t>
  </si>
  <si>
    <t>22-Nov-2022</t>
  </si>
  <si>
    <t>PT-1271</t>
  </si>
  <si>
    <t>Linda Flores</t>
  </si>
  <si>
    <t>01-04-2022</t>
  </si>
  <si>
    <t>PT-1010</t>
  </si>
  <si>
    <t>2021-01-31</t>
  </si>
  <si>
    <t>PT-1077</t>
  </si>
  <si>
    <t>James Liu</t>
  </si>
  <si>
    <t>2023/03/04</t>
  </si>
  <si>
    <t>PT-1391</t>
  </si>
  <si>
    <t>Arjun Davis</t>
  </si>
  <si>
    <t>27.10.2022</t>
  </si>
  <si>
    <t>PT-1115</t>
  </si>
  <si>
    <t>Juan Hernandez</t>
  </si>
  <si>
    <t>20.08.2022</t>
  </si>
  <si>
    <t>PT-1479</t>
  </si>
  <si>
    <t>05-Nov-2021</t>
  </si>
  <si>
    <t>PT-1421</t>
  </si>
  <si>
    <t>Valentina Rodriguez</t>
  </si>
  <si>
    <t>2022-07-02</t>
  </si>
  <si>
    <t>PT-1273</t>
  </si>
  <si>
    <t>Ahmed Johnson</t>
  </si>
  <si>
    <t>06-01-2021</t>
  </si>
  <si>
    <t>PT-1237</t>
  </si>
  <si>
    <t>Riya Williams</t>
  </si>
  <si>
    <t>07-23-2021</t>
  </si>
  <si>
    <t>PT-1228</t>
  </si>
  <si>
    <t>Diego Kumar</t>
  </si>
  <si>
    <t>01.05.2023</t>
  </si>
  <si>
    <t>PT-1340</t>
  </si>
  <si>
    <t>Vivaan Hussain</t>
  </si>
  <si>
    <t>2022-08-19</t>
  </si>
  <si>
    <t>PT-1139</t>
  </si>
  <si>
    <t>Reyansh Brown</t>
  </si>
  <si>
    <t>2021/06/23</t>
  </si>
  <si>
    <t>PT-1007</t>
  </si>
  <si>
    <t>12-05-2021</t>
  </si>
  <si>
    <t>PT-1317</t>
  </si>
  <si>
    <t>Carlos Perez</t>
  </si>
  <si>
    <t>06/08/2023</t>
  </si>
  <si>
    <t>PT-1180</t>
  </si>
  <si>
    <t>Krishna Reddy</t>
  </si>
  <si>
    <t>2023/04/26</t>
  </si>
  <si>
    <t>PT-1448</t>
  </si>
  <si>
    <t>Maria Gupta</t>
  </si>
  <si>
    <t>2021/07/08</t>
  </si>
  <si>
    <t>PT-1065</t>
  </si>
  <si>
    <t>11-04-2021</t>
  </si>
  <si>
    <t>PT-1311</t>
  </si>
  <si>
    <t>Hiroshi Hernandez</t>
  </si>
  <si>
    <t>07-Oct-2022</t>
  </si>
  <si>
    <t>14-Nov-2021</t>
  </si>
  <si>
    <t>PT-1209</t>
  </si>
  <si>
    <t>2023/10/06</t>
  </si>
  <si>
    <t>PT-1201</t>
  </si>
  <si>
    <t>2021/01/15</t>
  </si>
  <si>
    <t>PT-1264</t>
  </si>
  <si>
    <t>Robert Liu</t>
  </si>
  <si>
    <t>02-May-2023</t>
  </si>
  <si>
    <t>PT-1334</t>
  </si>
  <si>
    <t>Sai Suzuki</t>
  </si>
  <si>
    <t>09-26-2021</t>
  </si>
  <si>
    <t>PT-1032</t>
  </si>
  <si>
    <t>Aadhya Lopez</t>
  </si>
  <si>
    <t>22.08.2022</t>
  </si>
  <si>
    <t>PT-1500</t>
  </si>
  <si>
    <t>Vivaan Jones</t>
  </si>
  <si>
    <t>2021/08/16</t>
  </si>
  <si>
    <t>PT-1249</t>
  </si>
  <si>
    <t>Juan Torres</t>
  </si>
  <si>
    <t>23-Aug-2022</t>
  </si>
  <si>
    <t>PT-1119</t>
  </si>
  <si>
    <t>05-Jun-2023</t>
  </si>
  <si>
    <t>PT-1013</t>
  </si>
  <si>
    <t>Mary Iyer</t>
  </si>
  <si>
    <t>21/05/2021</t>
  </si>
  <si>
    <t>PT-1423</t>
  </si>
  <si>
    <t>Vihaan Singh</t>
  </si>
  <si>
    <t>25.01.2022</t>
  </si>
  <si>
    <t>PT-1213</t>
  </si>
  <si>
    <t>Carlos Reddy</t>
  </si>
  <si>
    <t>12-24-2021</t>
  </si>
  <si>
    <t>PT-1313</t>
  </si>
  <si>
    <t>Ana Zhang</t>
  </si>
  <si>
    <t>02-Jan-2023</t>
  </si>
  <si>
    <t>PT-1132</t>
  </si>
  <si>
    <t>Pari Hernandez</t>
  </si>
  <si>
    <t>2021-05-19</t>
  </si>
  <si>
    <t>Susan Singh</t>
  </si>
  <si>
    <t>04-23-2022</t>
  </si>
  <si>
    <t>PT-1370</t>
  </si>
  <si>
    <t>Michael Verma</t>
  </si>
  <si>
    <t>30/06/2023</t>
  </si>
  <si>
    <t>PT-1457</t>
  </si>
  <si>
    <t>2023-04-10</t>
  </si>
  <si>
    <t>PT-1255</t>
  </si>
  <si>
    <t>Ming Verma</t>
  </si>
  <si>
    <t>30-Jul-2023</t>
  </si>
  <si>
    <t>PT-1002</t>
  </si>
  <si>
    <t>Saanvi Ali</t>
  </si>
  <si>
    <t>24.08.2022</t>
  </si>
  <si>
    <t>PT-1250</t>
  </si>
  <si>
    <t>Hiroshi Brown</t>
  </si>
  <si>
    <t>26/12/2022</t>
  </si>
  <si>
    <t>PT-1484</t>
  </si>
  <si>
    <t>Myra Liu</t>
  </si>
  <si>
    <t>2023-10-17</t>
  </si>
  <si>
    <t>PT-1246</t>
  </si>
  <si>
    <t>Sai Nair</t>
  </si>
  <si>
    <t>04/11/2021</t>
  </si>
  <si>
    <t>PT-1215</t>
  </si>
  <si>
    <t>James Ramirez</t>
  </si>
  <si>
    <t>2021-04-21</t>
  </si>
  <si>
    <t>PT-1394</t>
  </si>
  <si>
    <t>Maria Wilson</t>
  </si>
  <si>
    <t>21/10/2022</t>
  </si>
  <si>
    <t>PT-1502</t>
  </si>
  <si>
    <t>2021/02/07</t>
  </si>
  <si>
    <t>PT-1489</t>
  </si>
  <si>
    <t>Ananya Tanaka</t>
  </si>
  <si>
    <t>24-Feb-2021</t>
  </si>
  <si>
    <t>PT-1029</t>
  </si>
  <si>
    <t>Carlos Ibrahim</t>
  </si>
  <si>
    <t>06-27-2021</t>
  </si>
  <si>
    <t>PT-1508</t>
  </si>
  <si>
    <t>Yuki Ibrahim</t>
  </si>
  <si>
    <t>08-29-2022</t>
  </si>
  <si>
    <t>PT-1137</t>
  </si>
  <si>
    <t>Arjun Sanchez</t>
  </si>
  <si>
    <t>2023-07-25</t>
  </si>
  <si>
    <t>PT-1336</t>
  </si>
  <si>
    <t>Sai Lopez</t>
  </si>
  <si>
    <t>06-03-2022</t>
  </si>
  <si>
    <t>PT-1183</t>
  </si>
  <si>
    <t>Barbara Reddy</t>
  </si>
  <si>
    <t>2022/10/03</t>
  </si>
  <si>
    <t>PT-1122</t>
  </si>
  <si>
    <t>Fatima Smith</t>
  </si>
  <si>
    <t>02.05.2023</t>
  </si>
  <si>
    <t>PT-1369</t>
  </si>
  <si>
    <t>Barbara Patel</t>
  </si>
  <si>
    <t>22-Jan-2021</t>
  </si>
  <si>
    <t>PT-1129</t>
  </si>
  <si>
    <t>26/05/2021</t>
  </si>
  <si>
    <t>PT-1464</t>
  </si>
  <si>
    <t>Hiroshi Torres</t>
  </si>
  <si>
    <t>22-Dec-2021</t>
  </si>
  <si>
    <t>PT-1418</t>
  </si>
  <si>
    <t>06.07.2022</t>
  </si>
  <si>
    <t>PT-1030</t>
  </si>
  <si>
    <t>13-Apr-2023</t>
  </si>
  <si>
    <t>PT-1286</t>
  </si>
  <si>
    <t>Noor Smith</t>
  </si>
  <si>
    <t>2022/04/01</t>
  </si>
  <si>
    <t>PT-1190</t>
  </si>
  <si>
    <t>Sai Wilson</t>
  </si>
  <si>
    <t>2023-02-04</t>
  </si>
  <si>
    <t>PT-1293</t>
  </si>
  <si>
    <t>Juan Perez</t>
  </si>
  <si>
    <t>23/07/2023</t>
  </si>
  <si>
    <t>PT-1222</t>
  </si>
  <si>
    <t>20/08/2021</t>
  </si>
  <si>
    <t>PT-1078</t>
  </si>
  <si>
    <t>Noor Wilson</t>
  </si>
  <si>
    <t>2021/05/13</t>
  </si>
  <si>
    <t>Ishaan Sharma</t>
  </si>
  <si>
    <t>27.02.2023</t>
  </si>
  <si>
    <t>PT-1434</t>
  </si>
  <si>
    <t>Linda Kumar</t>
  </si>
  <si>
    <t>26-Mar-2023</t>
  </si>
  <si>
    <t>PT-1432</t>
  </si>
  <si>
    <t>James Wang</t>
  </si>
  <si>
    <t>2021-09-04</t>
  </si>
  <si>
    <t>PT-1366</t>
  </si>
  <si>
    <t>Noor Miller</t>
  </si>
  <si>
    <t>31.03.2021</t>
  </si>
  <si>
    <t>PT-1379</t>
  </si>
  <si>
    <t>Myra Anderson</t>
  </si>
  <si>
    <t>11-Dec-2022</t>
  </si>
  <si>
    <t>PT-1454</t>
  </si>
  <si>
    <t>Myra Lopez</t>
  </si>
  <si>
    <t>10-05-2022</t>
  </si>
  <si>
    <t>PT-1467</t>
  </si>
  <si>
    <t>06/06/2021</t>
  </si>
  <si>
    <t>PT-1390</t>
  </si>
  <si>
    <t>Reyansh Smith</t>
  </si>
  <si>
    <t>2021-12-22</t>
  </si>
  <si>
    <t>PT-1117</t>
  </si>
  <si>
    <t>Camila Garcia</t>
  </si>
  <si>
    <t>2023/11/29</t>
  </si>
  <si>
    <t>PT-1229</t>
  </si>
  <si>
    <t>Jose Ali</t>
  </si>
  <si>
    <t>01.06.2023</t>
  </si>
  <si>
    <t>PT-1254</t>
  </si>
  <si>
    <t>Robert Johnson</t>
  </si>
  <si>
    <t>2021-12-25</t>
  </si>
  <si>
    <t>PT-1357</t>
  </si>
  <si>
    <t>Vivaan Davis</t>
  </si>
  <si>
    <t>2023-04-30</t>
  </si>
  <si>
    <t>PT-1422</t>
  </si>
  <si>
    <t>Ana Torres</t>
  </si>
  <si>
    <t>04.07.2021</t>
  </si>
  <si>
    <t>PT-1033</t>
  </si>
  <si>
    <t>Aarav Sanchez</t>
  </si>
  <si>
    <t>2022-09-15</t>
  </si>
  <si>
    <t>PT-1435</t>
  </si>
  <si>
    <t>Mateo Gonzalez</t>
  </si>
  <si>
    <t>12-12-2023</t>
  </si>
  <si>
    <t>PT-1239</t>
  </si>
  <si>
    <t>2023/07/09</t>
  </si>
  <si>
    <t>PT-1521</t>
  </si>
  <si>
    <t>Valentina Gonzalez</t>
  </si>
  <si>
    <t>19/05/2022</t>
  </si>
  <si>
    <t>PT-1232</t>
  </si>
  <si>
    <t>24.01.2021</t>
  </si>
  <si>
    <t>PT-1114</t>
  </si>
  <si>
    <t>Li Torres</t>
  </si>
  <si>
    <t>16-Feb-2022</t>
  </si>
  <si>
    <t>PT-1104</t>
  </si>
  <si>
    <t>Layla Brown</t>
  </si>
  <si>
    <t>18/10/2022</t>
  </si>
  <si>
    <t>PT-1221</t>
  </si>
  <si>
    <t>Susan Gupta</t>
  </si>
  <si>
    <t>27/06/2023</t>
  </si>
  <si>
    <t>PT-1253</t>
  </si>
  <si>
    <t>Yuki Wang</t>
  </si>
  <si>
    <t>03-05-2021</t>
  </si>
  <si>
    <t>PT-1026</t>
  </si>
  <si>
    <t>05/03/2021</t>
  </si>
  <si>
    <t>PT-1188</t>
  </si>
  <si>
    <t>2021-11-11</t>
  </si>
  <si>
    <t>PT-1523</t>
  </si>
  <si>
    <t>Omar Garcia</t>
  </si>
  <si>
    <t>12-Aug-2022</t>
  </si>
  <si>
    <t>PT-1315</t>
  </si>
  <si>
    <t>04/04/2023</t>
  </si>
  <si>
    <t>PT-1022</t>
  </si>
  <si>
    <t>Camila Reddy</t>
  </si>
  <si>
    <t>31-Oct-2023</t>
  </si>
  <si>
    <t>PT-1207</t>
  </si>
  <si>
    <t>04-16-2022</t>
  </si>
  <si>
    <t>PT-1426</t>
  </si>
  <si>
    <t>29/06/2023</t>
  </si>
  <si>
    <t>PT-1494</t>
  </si>
  <si>
    <t>16.12.2022</t>
  </si>
  <si>
    <t>PT-1214</t>
  </si>
  <si>
    <t>Sai Tanaka</t>
  </si>
  <si>
    <t>2022/07/02</t>
  </si>
  <si>
    <t>31/08/2022</t>
  </si>
  <si>
    <t>PT-1333</t>
  </si>
  <si>
    <t>Sai Ibrahim</t>
  </si>
  <si>
    <t>08-03-2022</t>
  </si>
  <si>
    <t>PT-1377</t>
  </si>
  <si>
    <t>2023/06/30</t>
  </si>
  <si>
    <t>PT-1312</t>
  </si>
  <si>
    <t>Camila Anderson</t>
  </si>
  <si>
    <t>2021/11/17</t>
  </si>
  <si>
    <t>PT-1527</t>
  </si>
  <si>
    <t>Diego Garcia</t>
  </si>
  <si>
    <t>11-Sep-2021</t>
  </si>
  <si>
    <t>PT-1410</t>
  </si>
  <si>
    <t>Jose Gupta</t>
  </si>
  <si>
    <t>06.04.2022</t>
  </si>
  <si>
    <t>PT-1445</t>
  </si>
  <si>
    <t>Robert Singh</t>
  </si>
  <si>
    <t>29/08/2023</t>
  </si>
  <si>
    <t>PT-1009</t>
  </si>
  <si>
    <t>21.04.2021</t>
  </si>
  <si>
    <t>PT-1124</t>
  </si>
  <si>
    <t>Pari Anderson</t>
  </si>
  <si>
    <t>27/05/2023</t>
  </si>
  <si>
    <t>PT-1211</t>
  </si>
  <si>
    <t>Reyansh Chen</t>
  </si>
  <si>
    <t>04-01-2023</t>
  </si>
  <si>
    <t>PT-1354</t>
  </si>
  <si>
    <t>02-Apr-2021</t>
  </si>
  <si>
    <t>PT-1433</t>
  </si>
  <si>
    <t>Sofia Hussain</t>
  </si>
  <si>
    <t>2022/06/02</t>
  </si>
  <si>
    <t>PT-1401</t>
  </si>
  <si>
    <t>Aarav Smith</t>
  </si>
  <si>
    <t>2023-10-27</t>
  </si>
  <si>
    <t>PT-1039</t>
  </si>
  <si>
    <t>12-Nov-2021</t>
  </si>
  <si>
    <t>PT-1259</t>
  </si>
  <si>
    <t>2022/12/15</t>
  </si>
  <si>
    <t>PT-1307</t>
  </si>
  <si>
    <t>David Tanaka</t>
  </si>
  <si>
    <t>25-Aug-2021</t>
  </si>
  <si>
    <t>PT-1417</t>
  </si>
  <si>
    <t>Riya Rodriguez</t>
  </si>
  <si>
    <t>17/03/2022</t>
  </si>
  <si>
    <t>PT-1099</t>
  </si>
  <si>
    <t>2023/05/19</t>
  </si>
  <si>
    <t>PT-1498</t>
  </si>
  <si>
    <t>05-28-2021</t>
  </si>
  <si>
    <t>PT-1452</t>
  </si>
  <si>
    <t>Sofia Jones</t>
  </si>
  <si>
    <t>2023-06-02</t>
  </si>
  <si>
    <t>PT-1361</t>
  </si>
  <si>
    <t>Vihaan Lopez</t>
  </si>
  <si>
    <t>09/09/2021</t>
  </si>
  <si>
    <t>PT-1314</t>
  </si>
  <si>
    <t>Omar Singh</t>
  </si>
  <si>
    <t>02-15-2021</t>
  </si>
  <si>
    <t>PT-1294</t>
  </si>
  <si>
    <t>2021/11/29</t>
  </si>
  <si>
    <t>PT-1023</t>
  </si>
  <si>
    <t>Wei Hussain</t>
  </si>
  <si>
    <t>24.02.2023</t>
  </si>
  <si>
    <t>PT-1482</t>
  </si>
  <si>
    <t>Valentina Anderson</t>
  </si>
  <si>
    <t>2022-06-25</t>
  </si>
  <si>
    <t>PT-1256</t>
  </si>
  <si>
    <t>23.06.2023</t>
  </si>
  <si>
    <t>PT-1071</t>
  </si>
  <si>
    <t>Ishaan Martinez</t>
  </si>
  <si>
    <t>03.02.2021</t>
  </si>
  <si>
    <t>PT-1118</t>
  </si>
  <si>
    <t>Camila Ramirez</t>
  </si>
  <si>
    <t>2023-09-03</t>
  </si>
  <si>
    <t>PT-1040</t>
  </si>
  <si>
    <t>2022/09/04</t>
  </si>
  <si>
    <t>PT-1525</t>
  </si>
  <si>
    <t>Barbara Ali</t>
  </si>
  <si>
    <t>2021/08/14</t>
  </si>
  <si>
    <t>PT-1318</t>
  </si>
  <si>
    <t>Patricia Chen</t>
  </si>
  <si>
    <t>28-Sep-2022</t>
  </si>
  <si>
    <t>Aadhya Rodriguez</t>
  </si>
  <si>
    <t>05-Aug-2021</t>
  </si>
  <si>
    <t>PT-1175</t>
  </si>
  <si>
    <t>Michael Perez</t>
  </si>
  <si>
    <t>2021/11/18</t>
  </si>
  <si>
    <t>PT-1186</t>
  </si>
  <si>
    <t>Yuki Rodriguez</t>
  </si>
  <si>
    <t>02/07/2023</t>
  </si>
  <si>
    <t>PT-1189</t>
  </si>
  <si>
    <t>05-29-2021</t>
  </si>
  <si>
    <t>PT-1310</t>
  </si>
  <si>
    <t>01/11/2022</t>
  </si>
  <si>
    <t>PT-1470</t>
  </si>
  <si>
    <t>07-11-2022</t>
  </si>
  <si>
    <t>PT-1014</t>
  </si>
  <si>
    <t>2022/06/25</t>
  </si>
  <si>
    <t>PT-1451</t>
  </si>
  <si>
    <t>03-18-2021</t>
  </si>
  <si>
    <t>PT-1385</t>
  </si>
  <si>
    <t>Riya Ibrahim</t>
  </si>
  <si>
    <t>17.03.2023</t>
  </si>
  <si>
    <t>PT-1037</t>
  </si>
  <si>
    <t>Hiroshi Hussain</t>
  </si>
  <si>
    <t>14.08.2022</t>
  </si>
  <si>
    <t>PT-1531</t>
  </si>
  <si>
    <t>Anika Patel</t>
  </si>
  <si>
    <t>10-21-2023</t>
  </si>
  <si>
    <t>PT-1363</t>
  </si>
  <si>
    <t>2021-01-18</t>
  </si>
  <si>
    <t>PT-1218</t>
  </si>
  <si>
    <t>Krishna Zhang</t>
  </si>
  <si>
    <t>22-Jan-2022</t>
  </si>
  <si>
    <t>PT-1145</t>
  </si>
  <si>
    <t>05-09-2022</t>
  </si>
  <si>
    <t>PT-1168</t>
  </si>
  <si>
    <t>PT-1515</t>
  </si>
  <si>
    <t>Layla Miller</t>
  </si>
  <si>
    <t>2022/06/24</t>
  </si>
  <si>
    <t>PT-1069</t>
  </si>
  <si>
    <t>31-Mar-2022</t>
  </si>
  <si>
    <t>PT-1504</t>
  </si>
  <si>
    <t>Barbara Johnson</t>
  </si>
  <si>
    <t>02/01/2023</t>
  </si>
  <si>
    <t>PT-1066</t>
  </si>
  <si>
    <t>05/01/2022</t>
  </si>
  <si>
    <t>PT-1182</t>
  </si>
  <si>
    <t>08.05.2021</t>
  </si>
  <si>
    <t>PT-1050</t>
  </si>
  <si>
    <t>Valentina Mehta</t>
  </si>
  <si>
    <t>2023-01-05</t>
  </si>
  <si>
    <t>PT-1528</t>
  </si>
  <si>
    <t>10-02-2022</t>
  </si>
  <si>
    <t>PT-1238</t>
  </si>
  <si>
    <t>Susan Martinez</t>
  </si>
  <si>
    <t>07.05.2021</t>
  </si>
  <si>
    <t>PT-1193</t>
  </si>
  <si>
    <t>Sofia Ali</t>
  </si>
  <si>
    <t>02-07-2022</t>
  </si>
  <si>
    <t>PT-1449</t>
  </si>
  <si>
    <t>Vihaan Jones</t>
  </si>
  <si>
    <t>2021-08-02</t>
  </si>
  <si>
    <t>PT-1109</t>
  </si>
  <si>
    <t>09/03/2021</t>
  </si>
  <si>
    <t>PT-1202</t>
  </si>
  <si>
    <t>John Khan</t>
  </si>
  <si>
    <t>16/09/2023</t>
  </si>
  <si>
    <t>PT-1282</t>
  </si>
  <si>
    <t>Sai Anderson</t>
  </si>
  <si>
    <t>19/08/2021</t>
  </si>
  <si>
    <t>PT-1242</t>
  </si>
  <si>
    <t>Wei Iyer</t>
  </si>
  <si>
    <t>20/02/2022</t>
  </si>
  <si>
    <t>PT-1108</t>
  </si>
  <si>
    <t>Hiroshi Miller</t>
  </si>
  <si>
    <t>2021-03-06</t>
  </si>
  <si>
    <t>PT-1540</t>
  </si>
  <si>
    <t>Carlos Patel</t>
  </si>
  <si>
    <t>10.11.2021</t>
  </si>
  <si>
    <t>PT-1382</t>
  </si>
  <si>
    <t>Layla Torres</t>
  </si>
  <si>
    <t>2021-12-30</t>
  </si>
  <si>
    <t>PT-1245</t>
  </si>
  <si>
    <t>26.10.2022</t>
  </si>
  <si>
    <t>PT-1003</t>
  </si>
  <si>
    <t>Aditya Jones</t>
  </si>
  <si>
    <t>2021/05/27</t>
  </si>
  <si>
    <t>PT-1472</t>
  </si>
  <si>
    <t>Aarav Chen</t>
  </si>
  <si>
    <t>2021/06/03</t>
  </si>
  <si>
    <t>PT-1079</t>
  </si>
  <si>
    <t>Juan Johnson</t>
  </si>
  <si>
    <t>26-Sep-2022</t>
  </si>
  <si>
    <t>PT-1126</t>
  </si>
  <si>
    <t>06.01.2021</t>
  </si>
  <si>
    <t>PT-1326</t>
  </si>
  <si>
    <t>Mary Flores</t>
  </si>
  <si>
    <t>06-30-2022</t>
  </si>
  <si>
    <t>PT-1224</t>
  </si>
  <si>
    <t>01/10/2023</t>
  </si>
  <si>
    <t>PT-1105</t>
  </si>
  <si>
    <t>Ishaan Verma</t>
  </si>
  <si>
    <t>02-Oct-2023</t>
  </si>
  <si>
    <t>PT-1517</t>
  </si>
  <si>
    <t>Patricia Hussain</t>
  </si>
  <si>
    <t>PT-1095</t>
  </si>
  <si>
    <t>Barbara Davis</t>
  </si>
  <si>
    <t>08-28-2022</t>
  </si>
  <si>
    <t>PT-1491</t>
  </si>
  <si>
    <t>2022-02-16</t>
  </si>
  <si>
    <t>PT-1486</t>
  </si>
  <si>
    <t>2022-08-27</t>
  </si>
  <si>
    <t>PT-1155</t>
  </si>
  <si>
    <t>Sofia Gupta</t>
  </si>
  <si>
    <t>11/06/2023</t>
  </si>
  <si>
    <t>PT-1121</t>
  </si>
  <si>
    <t>Linda Wilson</t>
  </si>
  <si>
    <t>25-Aug-2023</t>
  </si>
  <si>
    <t>PT-1459</t>
  </si>
  <si>
    <t>08-Jan-2021</t>
  </si>
  <si>
    <t>PT-1076</t>
  </si>
  <si>
    <t>01-21-2023</t>
  </si>
  <si>
    <t>PT-1001</t>
  </si>
  <si>
    <t>10/05/2023</t>
  </si>
  <si>
    <t>PT-1492</t>
  </si>
  <si>
    <t>10-Sep-2021</t>
  </si>
  <si>
    <t>PT-1085</t>
  </si>
  <si>
    <t>2023/07/12</t>
  </si>
  <si>
    <t>PT-1203</t>
  </si>
  <si>
    <t>David Suzuki</t>
  </si>
  <si>
    <t>17/04/2021</t>
  </si>
  <si>
    <t>PT-1235</t>
  </si>
  <si>
    <t>Layla Verma</t>
  </si>
  <si>
    <t>2021-06-25</t>
  </si>
  <si>
    <t>PT-1537</t>
  </si>
  <si>
    <t>Vihaan Iyer</t>
  </si>
  <si>
    <t>12-06-2023</t>
  </si>
  <si>
    <t>PT-1073</t>
  </si>
  <si>
    <t>2023-07-27</t>
  </si>
  <si>
    <t>PT-1513</t>
  </si>
  <si>
    <t>Jose Mehta</t>
  </si>
  <si>
    <t>24/08/2022</t>
  </si>
  <si>
    <t>PT-1538</t>
  </si>
  <si>
    <t>Carlos Davis</t>
  </si>
  <si>
    <t>19/05/2023</t>
  </si>
  <si>
    <t>PT-1474</t>
  </si>
  <si>
    <t>Hiroshi Gupta</t>
  </si>
  <si>
    <t>03-17-2023</t>
  </si>
  <si>
    <t>PT-1171</t>
  </si>
  <si>
    <t>Fatima Hernandez</t>
  </si>
  <si>
    <t>09.06.2022</t>
  </si>
  <si>
    <t>PT-1535</t>
  </si>
  <si>
    <t>Anika Zhang</t>
  </si>
  <si>
    <t>30.07.2021</t>
  </si>
  <si>
    <t>PT-1398</t>
  </si>
  <si>
    <t>Robert Hernandez</t>
  </si>
  <si>
    <t>25.01.2023</t>
  </si>
  <si>
    <t>PT-1291</t>
  </si>
  <si>
    <t>Barbara Flores</t>
  </si>
  <si>
    <t>18.08.2021</t>
  </si>
  <si>
    <t>PT-1102</t>
  </si>
  <si>
    <t>02-Oct-2021</t>
  </si>
  <si>
    <t>PT-1269</t>
  </si>
  <si>
    <t>Aditya Wang</t>
  </si>
  <si>
    <t>2022-12-08</t>
  </si>
  <si>
    <t>PT-1306</t>
  </si>
  <si>
    <t>21.01.2023</t>
  </si>
  <si>
    <t>PT-1424</t>
  </si>
  <si>
    <t>Valentina Perez</t>
  </si>
  <si>
    <t>PT-1530</t>
  </si>
  <si>
    <t>Vivaan Suzuki</t>
  </si>
  <si>
    <t>17-Oct-2021</t>
  </si>
  <si>
    <t>PT-1412</t>
  </si>
  <si>
    <t>Omar Patel</t>
  </si>
  <si>
    <t>12.01.2023</t>
  </si>
  <si>
    <t>PT-1372</t>
  </si>
  <si>
    <t>08.01.2021</t>
  </si>
  <si>
    <t>PT-1539</t>
  </si>
  <si>
    <t>James Johnson</t>
  </si>
  <si>
    <t>18.07.2022</t>
  </si>
  <si>
    <t>PT-1364</t>
  </si>
  <si>
    <t>2022-03-05</t>
  </si>
  <si>
    <t>PT-1351</t>
  </si>
  <si>
    <t>Valentina Ramirez</t>
  </si>
  <si>
    <t>PT-1296</t>
  </si>
  <si>
    <t>Fatima Nair</t>
  </si>
  <si>
    <t>02.07.2023</t>
  </si>
  <si>
    <t>PT-1414</t>
  </si>
  <si>
    <t>09-10-2023</t>
  </si>
  <si>
    <t>PT-1219</t>
  </si>
  <si>
    <t>Maria Tanaka</t>
  </si>
  <si>
    <t>PT-1442</t>
  </si>
  <si>
    <t>07.01.2022</t>
  </si>
  <si>
    <t>PT-1056</t>
  </si>
  <si>
    <t>Diego Patel</t>
  </si>
  <si>
    <t>2023/05/29</t>
  </si>
  <si>
    <t>PT-1260</t>
  </si>
  <si>
    <t>02-Jun-2023</t>
  </si>
  <si>
    <t>PT-1120</t>
  </si>
  <si>
    <t>Robert Sharma</t>
  </si>
  <si>
    <t>2023/03/07</t>
  </si>
  <si>
    <t>PT-1021</t>
  </si>
  <si>
    <t>Mateo Garcia</t>
  </si>
  <si>
    <t>10-Oct-2023</t>
  </si>
  <si>
    <t>PT-1154</t>
  </si>
  <si>
    <t>2023/08/31</t>
  </si>
  <si>
    <t>PT-1206</t>
  </si>
  <si>
    <t>Diego Martinez</t>
  </si>
  <si>
    <t>2021/08/28</t>
  </si>
  <si>
    <t>PT-1348</t>
  </si>
  <si>
    <t>Patricia Suzuki</t>
  </si>
  <si>
    <t>2022/02/25</t>
  </si>
  <si>
    <t>PT-1248</t>
  </si>
  <si>
    <t>Sara Flores</t>
  </si>
  <si>
    <t>12-Aug-2021</t>
  </si>
  <si>
    <t>PT-1477</t>
  </si>
  <si>
    <t>19-Mar-2022</t>
  </si>
  <si>
    <t>PT-1308</t>
  </si>
  <si>
    <t>01.04.2023</t>
  </si>
  <si>
    <t>PT-1493</t>
  </si>
  <si>
    <t>Pari Smith</t>
  </si>
  <si>
    <t>PT-1130</t>
  </si>
  <si>
    <t>Kiara Iyer</t>
  </si>
  <si>
    <t>26/06/2023</t>
  </si>
  <si>
    <t>PT-1125</t>
  </si>
  <si>
    <t>Ahmed Zhang</t>
  </si>
  <si>
    <t>17.09.2021</t>
  </si>
  <si>
    <t>PT-1243</t>
  </si>
  <si>
    <t>Li Chen</t>
  </si>
  <si>
    <t>PT-1205</t>
  </si>
  <si>
    <t>Layla Gonzalez</t>
  </si>
  <si>
    <t>2022/02/15</t>
  </si>
  <si>
    <t>PT-1436</t>
  </si>
  <si>
    <t>01-26-2023</t>
  </si>
  <si>
    <t>PT-1356</t>
  </si>
  <si>
    <t>Maria Singh</t>
  </si>
  <si>
    <t>2023/09/02</t>
  </si>
  <si>
    <t>PT-1295</t>
  </si>
  <si>
    <t>Ishaan Ibrahim</t>
  </si>
  <si>
    <t>06-25-2023</t>
  </si>
  <si>
    <t>PT-1304</t>
  </si>
  <si>
    <t>2023-06-03</t>
  </si>
  <si>
    <t>PT-1234</t>
  </si>
  <si>
    <t>Ming Ali</t>
  </si>
  <si>
    <t>2021-07-03</t>
  </si>
  <si>
    <t>PT-1316</t>
  </si>
  <si>
    <t>Omar Wang</t>
  </si>
  <si>
    <t>2022/05/30</t>
  </si>
  <si>
    <t>PT-1225</t>
  </si>
  <si>
    <t>2023/01/16</t>
  </si>
  <si>
    <t>PT-1012</t>
  </si>
  <si>
    <t>12-07-2023</t>
  </si>
  <si>
    <t>PT-1375</t>
  </si>
  <si>
    <t>Noor Ali</t>
  </si>
  <si>
    <t>26/08/2022</t>
  </si>
  <si>
    <t>PT-1280</t>
  </si>
  <si>
    <t>Krishna Chen</t>
  </si>
  <si>
    <t>25/03/2021</t>
  </si>
  <si>
    <t>PT-1397</t>
  </si>
  <si>
    <t>Susan Anderson</t>
  </si>
  <si>
    <t>06-Feb-2023</t>
  </si>
  <si>
    <t>PT-1084</t>
  </si>
  <si>
    <t>2021-04-10</t>
  </si>
  <si>
    <t>Ahmed Reddy</t>
  </si>
  <si>
    <t>10.11.2022</t>
  </si>
  <si>
    <t>PT-1384</t>
  </si>
  <si>
    <t>2022/11/05</t>
  </si>
  <si>
    <t>PT-1400</t>
  </si>
  <si>
    <t>Sai Perez</t>
  </si>
  <si>
    <t>07/12/2022</t>
  </si>
  <si>
    <t>PT-1052</t>
  </si>
  <si>
    <t>Ishaan Iyer</t>
  </si>
  <si>
    <t>2023/05/13</t>
  </si>
  <si>
    <t>PT-1332</t>
  </si>
  <si>
    <t>Aarav Perez</t>
  </si>
  <si>
    <t>03-19-2023</t>
  </si>
  <si>
    <t>PT-1173</t>
  </si>
  <si>
    <t>Sai Liu</t>
  </si>
  <si>
    <t>01/05/2021</t>
  </si>
  <si>
    <t>PT-1172</t>
  </si>
  <si>
    <t>Reyansh Johnson</t>
  </si>
  <si>
    <t>12-16-2021</t>
  </si>
  <si>
    <t>PT-1399</t>
  </si>
  <si>
    <t>Wei Gupta</t>
  </si>
  <si>
    <t>09.07.2021</t>
  </si>
  <si>
    <t>PT-1216</t>
  </si>
  <si>
    <t>29-Oct-2022</t>
  </si>
  <si>
    <t>PT-1082</t>
  </si>
  <si>
    <t>Camila Sanchez</t>
  </si>
  <si>
    <t>PT-1005</t>
  </si>
  <si>
    <t>PT-1184</t>
  </si>
  <si>
    <t>02-Sep-2021</t>
  </si>
  <si>
    <t>PT-1323</t>
  </si>
  <si>
    <t>2023-11-03</t>
  </si>
  <si>
    <t>PT-1054</t>
  </si>
  <si>
    <t>Noor Ramirez</t>
  </si>
  <si>
    <t>13-Apr-2022</t>
  </si>
  <si>
    <t>PT-1485</t>
  </si>
  <si>
    <t>2021/03/26</t>
  </si>
  <si>
    <t>PT-1395</t>
  </si>
  <si>
    <t>Diya Patel</t>
  </si>
  <si>
    <t>09/02/2022</t>
  </si>
  <si>
    <t>PT-1302</t>
  </si>
  <si>
    <t>Camila Johnson</t>
  </si>
  <si>
    <t>2021-10-22</t>
  </si>
  <si>
    <t>PT-1402</t>
  </si>
  <si>
    <t>Ananya Williams</t>
  </si>
  <si>
    <t>06-Sep-2023</t>
  </si>
  <si>
    <t>PT-1194</t>
  </si>
  <si>
    <t>2023-11-12</t>
  </si>
  <si>
    <t>PT-1289</t>
  </si>
  <si>
    <t>Yuki Sanchez</t>
  </si>
  <si>
    <t>2021/05/18</t>
  </si>
  <si>
    <t>Mary Rodriguez</t>
  </si>
  <si>
    <t>2021/04/22</t>
  </si>
  <si>
    <t>PT-1166</t>
  </si>
  <si>
    <t>Patricia Sanchez</t>
  </si>
  <si>
    <t>05/03/2022</t>
  </si>
  <si>
    <t>PT-1301</t>
  </si>
  <si>
    <t>2022-12-31</t>
  </si>
  <si>
    <t>PT-1415</t>
  </si>
  <si>
    <t>Maria Ali</t>
  </si>
  <si>
    <t>12/09/2021</t>
  </si>
  <si>
    <t>PT-1468</t>
  </si>
  <si>
    <t>Saanvi Johnson</t>
  </si>
  <si>
    <t>2022-06-06</t>
  </si>
  <si>
    <t>PT-1244</t>
  </si>
  <si>
    <t>Aditya Martinez</t>
  </si>
  <si>
    <t>19-Oct-2021</t>
  </si>
  <si>
    <t>PT-1505</t>
  </si>
  <si>
    <t>Maria Garcia</t>
  </si>
  <si>
    <t>2022-03-08</t>
  </si>
  <si>
    <t>PT-1441</t>
  </si>
  <si>
    <t>11/08/2022</t>
  </si>
  <si>
    <t>PT-1338</t>
  </si>
  <si>
    <t>03-20-2023</t>
  </si>
  <si>
    <t>PT-1265</t>
  </si>
  <si>
    <t>Susan Gonzalez</t>
  </si>
  <si>
    <t>17.09.2023</t>
  </si>
  <si>
    <t>PT-1511</t>
  </si>
  <si>
    <t>2023-05-02</t>
  </si>
  <si>
    <t>PT-1017</t>
  </si>
  <si>
    <t>Juan Reddy</t>
  </si>
  <si>
    <t>05-23-2021</t>
  </si>
  <si>
    <t>PT-1134</t>
  </si>
  <si>
    <t>09.10.2021</t>
  </si>
  <si>
    <t>PT-1240</t>
  </si>
  <si>
    <t>Diya Iyer</t>
  </si>
  <si>
    <t>13/10/2022</t>
  </si>
  <si>
    <t>PT-1501</t>
  </si>
  <si>
    <t>Michael Khan</t>
  </si>
  <si>
    <t>2021/06/15</t>
  </si>
  <si>
    <t>PT-1456</t>
  </si>
  <si>
    <t>Sai Johnson</t>
  </si>
  <si>
    <t>15-Nov-2021</t>
  </si>
  <si>
    <t>PT-1430</t>
  </si>
  <si>
    <t>19/04/2022</t>
  </si>
  <si>
    <t>PT-1446</t>
  </si>
  <si>
    <t>Camila Iyer</t>
  </si>
  <si>
    <t>05-20-2023</t>
  </si>
  <si>
    <t>PT-1263</t>
  </si>
  <si>
    <t>Riya Patel</t>
  </si>
  <si>
    <t>21-Feb-2023</t>
  </si>
  <si>
    <t>PT-1509</t>
  </si>
  <si>
    <t>23-Mar-2022</t>
  </si>
  <si>
    <t>PT-1138</t>
  </si>
  <si>
    <t>Pari Ibrahim</t>
  </si>
  <si>
    <t>01-20-2021</t>
  </si>
  <si>
    <t>PT-1407</t>
  </si>
  <si>
    <t>2022/04/04</t>
  </si>
  <si>
    <t>PT-1381</t>
  </si>
  <si>
    <t>Krishna Anderson</t>
  </si>
  <si>
    <t>07/03/2021</t>
  </si>
  <si>
    <t>PT-1526</t>
  </si>
  <si>
    <t>04-15-2022</t>
  </si>
  <si>
    <t>PT-1258</t>
  </si>
  <si>
    <t>Omar Hussain</t>
  </si>
  <si>
    <t>12-Aug-2023</t>
  </si>
  <si>
    <t>PT-1359</t>
  </si>
  <si>
    <t>02-08-2021</t>
  </si>
  <si>
    <t>PT-1176</t>
  </si>
  <si>
    <t>16.10.2023</t>
  </si>
  <si>
    <t>PT-1107</t>
  </si>
  <si>
    <t>Noor Lopez</t>
  </si>
  <si>
    <t>01/06/2023</t>
  </si>
  <si>
    <t>PT-1148</t>
  </si>
  <si>
    <t>Jose Suzuki</t>
  </si>
  <si>
    <t>26-Dec-2021</t>
  </si>
  <si>
    <t>PT-1408</t>
  </si>
  <si>
    <t>Sofia Tanaka</t>
  </si>
  <si>
    <t>24/01/2023</t>
  </si>
  <si>
    <t>PT-1516</t>
  </si>
  <si>
    <t>Linda Verma</t>
  </si>
  <si>
    <t>09.08.2021</t>
  </si>
  <si>
    <t>PT-1416</t>
  </si>
  <si>
    <t>Ananya Sharma</t>
  </si>
  <si>
    <t>17.05.2023</t>
  </si>
  <si>
    <t>PT-1331</t>
  </si>
  <si>
    <t>Li Gupta</t>
  </si>
  <si>
    <t>11-08-2023</t>
  </si>
  <si>
    <t>PT-1522</t>
  </si>
  <si>
    <t>Wei Mehta</t>
  </si>
  <si>
    <t>04.03.2022</t>
  </si>
  <si>
    <t>PT-1223</t>
  </si>
  <si>
    <t>Ayaan Suzuki</t>
  </si>
  <si>
    <t>30.12.2022</t>
  </si>
  <si>
    <t>PT-1524</t>
  </si>
  <si>
    <t>Susan Chen</t>
  </si>
  <si>
    <t>2023-04-18</t>
  </si>
  <si>
    <t>PT-1292</t>
  </si>
  <si>
    <t>Vivaan Wilson</t>
  </si>
  <si>
    <t>2023/04/24</t>
  </si>
  <si>
    <t>PT-1276</t>
  </si>
  <si>
    <t>David Wang</t>
  </si>
  <si>
    <t>26.02.2023</t>
  </si>
  <si>
    <t>PT-1080</t>
  </si>
  <si>
    <t>15/09/2022</t>
  </si>
  <si>
    <t>PT-1534</t>
  </si>
  <si>
    <t>Krishna Smith</t>
  </si>
  <si>
    <t>2021-07-13</t>
  </si>
  <si>
    <t>PT-1300</t>
  </si>
  <si>
    <t>13.06.2022</t>
  </si>
  <si>
    <t>PT-1463</t>
  </si>
  <si>
    <t>09-Jan-2021</t>
  </si>
  <si>
    <t>PT-1019</t>
  </si>
  <si>
    <t>Diego Williams</t>
  </si>
  <si>
    <t>18/09/2021</t>
  </si>
  <si>
    <t>PT-1088</t>
  </si>
  <si>
    <t>Maria Ramirez</t>
  </si>
  <si>
    <t>22-Feb-2022</t>
  </si>
  <si>
    <t>17-Jan-2023</t>
  </si>
  <si>
    <t>PT-1352</t>
  </si>
  <si>
    <t>Sai Patel</t>
  </si>
  <si>
    <t>30.09.2023</t>
  </si>
  <si>
    <t>PT-1324</t>
  </si>
  <si>
    <t>Susan Verma</t>
  </si>
  <si>
    <t>2021/09/24</t>
  </si>
  <si>
    <t>PT-1425</t>
  </si>
  <si>
    <t>Ayaan Wilson</t>
  </si>
  <si>
    <t>08-01-2023</t>
  </si>
  <si>
    <t>PT-1231</t>
  </si>
  <si>
    <t>Ming Martinez</t>
  </si>
  <si>
    <t>22.03.2022</t>
  </si>
  <si>
    <t>PT-1268</t>
  </si>
  <si>
    <t>12-26-2021</t>
  </si>
  <si>
    <t>PT-1488</t>
  </si>
  <si>
    <t>Carlos Tanaka</t>
  </si>
  <si>
    <t>02-13-2022</t>
  </si>
  <si>
    <t>PT-1396</t>
  </si>
  <si>
    <t>Carlos Williams</t>
  </si>
  <si>
    <t>06-20-2021</t>
  </si>
  <si>
    <t>PT-1179</t>
  </si>
  <si>
    <t>2023/09/17</t>
  </si>
  <si>
    <t>PT-1187</t>
  </si>
  <si>
    <t>Ana Chen</t>
  </si>
  <si>
    <t>PT-1297</t>
  </si>
  <si>
    <t>John Torres</t>
  </si>
  <si>
    <t>2023/07/02</t>
  </si>
  <si>
    <t>PT-1251</t>
  </si>
  <si>
    <t>2022-03-11</t>
  </si>
  <si>
    <t>PT-1048</t>
  </si>
  <si>
    <t>2023-01-31</t>
  </si>
  <si>
    <t>PT-1136</t>
  </si>
  <si>
    <t>Reyansh Sanchez</t>
  </si>
  <si>
    <t>09/05/2023</t>
  </si>
  <si>
    <t>PT-1226</t>
  </si>
  <si>
    <t>Robert Williams</t>
  </si>
  <si>
    <t>08-Aug-2021</t>
  </si>
  <si>
    <t>PT-1358</t>
  </si>
  <si>
    <t>2023-03-10</t>
  </si>
  <si>
    <t>PT-1133</t>
  </si>
  <si>
    <t>Ming Wilson</t>
  </si>
  <si>
    <t>2023/03/12</t>
  </si>
  <si>
    <t>PT-1532</t>
  </si>
  <si>
    <t>Fatima Singh</t>
  </si>
  <si>
    <t>11-Dec-2023</t>
  </si>
  <si>
    <t>PT-1512</t>
  </si>
  <si>
    <t>2023/11/07</t>
  </si>
  <si>
    <t>PT-1103</t>
  </si>
  <si>
    <t>James Singh</t>
  </si>
  <si>
    <t>PT-1453</t>
  </si>
  <si>
    <t>2022/07/28</t>
  </si>
  <si>
    <t>PT-1140</t>
  </si>
  <si>
    <t>Ahmed Patel</t>
  </si>
  <si>
    <t>12/08/2021</t>
  </si>
  <si>
    <t>PT-1097</t>
  </si>
  <si>
    <t>24.09.2022</t>
  </si>
  <si>
    <t>PT-1428</t>
  </si>
  <si>
    <t>Ana Iyer</t>
  </si>
  <si>
    <t>02-Dec-2022</t>
  </si>
  <si>
    <t>PT-1116</t>
  </si>
  <si>
    <t>07.01.2023</t>
  </si>
  <si>
    <t>PT-1212</t>
  </si>
  <si>
    <t>Reyansh Davis</t>
  </si>
  <si>
    <t>08-Apr-2021</t>
  </si>
  <si>
    <t>PT-1162</t>
  </si>
  <si>
    <t>Linda Tanaka</t>
  </si>
  <si>
    <t>2023-09-14</t>
  </si>
  <si>
    <t>PT-1290</t>
  </si>
  <si>
    <t>Ayaan Lopez</t>
  </si>
  <si>
    <t>2023-12-15</t>
  </si>
  <si>
    <t>PT-1072</t>
  </si>
  <si>
    <t>02-03-2021</t>
  </si>
  <si>
    <t>PT-1143</t>
  </si>
  <si>
    <t>Diya Hussain</t>
  </si>
  <si>
    <t>01-19-2022</t>
  </si>
  <si>
    <t>PT-1092</t>
  </si>
  <si>
    <t>18/03/2021</t>
  </si>
  <si>
    <t>PT-1147</t>
  </si>
  <si>
    <t>2021-10-18</t>
  </si>
  <si>
    <t>PT-1362</t>
  </si>
  <si>
    <t>Ming Chen</t>
  </si>
  <si>
    <t>2021/01/05</t>
  </si>
  <si>
    <t>PT-1195</t>
  </si>
  <si>
    <t>29.03.2021</t>
  </si>
  <si>
    <t>PT-1028</t>
  </si>
  <si>
    <t>Arjun Ramirez</t>
  </si>
  <si>
    <t>2022-11-30</t>
  </si>
  <si>
    <t>PT-1159</t>
  </si>
  <si>
    <t>James Patel</t>
  </si>
  <si>
    <t>2023-07-24</t>
  </si>
  <si>
    <t>PT-1068</t>
  </si>
  <si>
    <t>2023/02/22</t>
  </si>
  <si>
    <t>PT-1378</t>
  </si>
  <si>
    <t>Linda Hussain</t>
  </si>
  <si>
    <t>2021-08-31</t>
  </si>
  <si>
    <t>PT-1387</t>
  </si>
  <si>
    <t>Juan Ibrahim</t>
  </si>
  <si>
    <t>12.05.2022</t>
  </si>
  <si>
    <t>PT-1383</t>
  </si>
  <si>
    <t>21-May-2021</t>
  </si>
  <si>
    <t>PT-1098</t>
  </si>
  <si>
    <t>Arjun Gupta</t>
  </si>
  <si>
    <t>13-Feb-2023</t>
  </si>
  <si>
    <t>PT-1443</t>
  </si>
  <si>
    <t>Riya Zhang</t>
  </si>
  <si>
    <t>04.07.2023</t>
  </si>
  <si>
    <t>PT-1462</t>
  </si>
  <si>
    <t>12/05/2023</t>
  </si>
  <si>
    <t>PT-1329</t>
  </si>
  <si>
    <t>09-Jan-2023</t>
  </si>
  <si>
    <t>PT-1349</t>
  </si>
  <si>
    <t>Maria Suzuki</t>
  </si>
  <si>
    <t>PT-1429</t>
  </si>
  <si>
    <t>Li Singh</t>
  </si>
  <si>
    <t>31.07.2021</t>
  </si>
  <si>
    <t>PT-1158</t>
  </si>
  <si>
    <t>Vivaan Wang</t>
  </si>
  <si>
    <t>20-Jan-2022</t>
  </si>
  <si>
    <t>PT-1127</t>
  </si>
  <si>
    <t>Arjun Rodriguez</t>
  </si>
  <si>
    <t>23.07.2021</t>
  </si>
  <si>
    <t>PT-1483</t>
  </si>
  <si>
    <t>19-Nov-2022</t>
  </si>
  <si>
    <t>PT-1371</t>
  </si>
  <si>
    <t>Linda Gonzalez</t>
  </si>
  <si>
    <t>22-Apr-2021</t>
  </si>
  <si>
    <t>PT-1450</t>
  </si>
  <si>
    <t>04-09-2021</t>
  </si>
  <si>
    <t>PT-1042</t>
  </si>
  <si>
    <t>Aditya Iyer</t>
  </si>
  <si>
    <t>06-27-2022</t>
  </si>
  <si>
    <t>PT-1236</t>
  </si>
  <si>
    <t>Riya Sharma</t>
  </si>
  <si>
    <t>07-Feb-2021</t>
  </si>
  <si>
    <t>PT-1192</t>
  </si>
  <si>
    <t>Reyansh Williams</t>
  </si>
  <si>
    <t>01-17-2023</t>
  </si>
  <si>
    <t>PT-1327</t>
  </si>
  <si>
    <t>Aadhya Wilson</t>
  </si>
  <si>
    <t>09-30-2021</t>
  </si>
  <si>
    <t>PT-1112</t>
  </si>
  <si>
    <t>Ishaan Tanaka</t>
  </si>
  <si>
    <t>2022/12/26</t>
  </si>
  <si>
    <t>PT-1006</t>
  </si>
  <si>
    <t>2021/11/27</t>
  </si>
  <si>
    <t>PT-1404</t>
  </si>
  <si>
    <t>05-25-2022</t>
  </si>
  <si>
    <t>PT-1087</t>
  </si>
  <si>
    <t>23.09.2022</t>
  </si>
  <si>
    <t>PT-1393</t>
  </si>
  <si>
    <t>Linda Garcia</t>
  </si>
  <si>
    <t>07-24-2022</t>
  </si>
  <si>
    <t>PT-1011</t>
  </si>
  <si>
    <t>Aadhya Suzuki</t>
  </si>
  <si>
    <t>05.05.2021</t>
  </si>
  <si>
    <t>PT-1495</t>
  </si>
  <si>
    <t>Maria Sanchez</t>
  </si>
  <si>
    <t>05.11.2023</t>
  </si>
  <si>
    <t>PT-1321</t>
  </si>
  <si>
    <t>13.03.2021</t>
  </si>
  <si>
    <t>PT-1303</t>
  </si>
  <si>
    <t>2023/06/25</t>
  </si>
  <si>
    <t>PT-1163</t>
  </si>
  <si>
    <t>2021/03/14</t>
  </si>
  <si>
    <t>PT-1096</t>
  </si>
  <si>
    <t>Valentina Torres</t>
  </si>
  <si>
    <t>2021/05/07</t>
  </si>
  <si>
    <t>PT-1045</t>
  </si>
  <si>
    <t>2023/01/06</t>
  </si>
  <si>
    <t>PT-1374</t>
  </si>
  <si>
    <t>Myra Johnson</t>
  </si>
  <si>
    <t>24/07/2023</t>
  </si>
  <si>
    <t>PT-1094</t>
  </si>
  <si>
    <t>PT-1047</t>
  </si>
  <si>
    <t>Aditya Ramirez</t>
  </si>
  <si>
    <t>28.08.2022</t>
  </si>
  <si>
    <t>PT-1471</t>
  </si>
  <si>
    <t>James Kumar</t>
  </si>
  <si>
    <t>2022-05-18</t>
  </si>
  <si>
    <t>PT-1060</t>
  </si>
  <si>
    <t>Krishna Tanaka</t>
  </si>
  <si>
    <t>2023/05/30</t>
  </si>
  <si>
    <t>PT-1091</t>
  </si>
  <si>
    <t>Maria Miller</t>
  </si>
  <si>
    <t>PT-1475</t>
  </si>
  <si>
    <t>Ayaan Liu</t>
  </si>
  <si>
    <t>04-18-2021</t>
  </si>
  <si>
    <t>PT-1089</t>
  </si>
  <si>
    <t>2022/06/26</t>
  </si>
  <si>
    <t>PT-1478</t>
  </si>
  <si>
    <t>Omar Perez</t>
  </si>
  <si>
    <t>31/03/2023</t>
  </si>
  <si>
    <t>PT-1350</t>
  </si>
  <si>
    <t>Yuki Ramirez</t>
  </si>
  <si>
    <t>07-09-2023</t>
  </si>
  <si>
    <t>Ananya Anderson</t>
  </si>
  <si>
    <t>16-Jan-2022</t>
  </si>
  <si>
    <t>PT-1360</t>
  </si>
  <si>
    <t>Maria Iyer</t>
  </si>
  <si>
    <t>03-Jan-2021</t>
  </si>
  <si>
    <t>PT-1281</t>
  </si>
  <si>
    <t>05/05/2022</t>
  </si>
  <si>
    <t>PT-1319</t>
  </si>
  <si>
    <t>Diya Smith</t>
  </si>
  <si>
    <t>11-May-2021</t>
  </si>
  <si>
    <t>PT-1004</t>
  </si>
  <si>
    <t>21.05.2022</t>
  </si>
  <si>
    <t>PT-1178</t>
  </si>
  <si>
    <t>Anika Sharma</t>
  </si>
  <si>
    <t>06/02/2022</t>
  </si>
  <si>
    <t>PT-1420</t>
  </si>
  <si>
    <t>2021-07-22</t>
  </si>
  <si>
    <t>PT-1518</t>
  </si>
  <si>
    <t>Reyansh Jones</t>
  </si>
  <si>
    <t>2022-10-06</t>
  </si>
  <si>
    <t>PT-1204</t>
  </si>
  <si>
    <t>Wei Torres</t>
  </si>
  <si>
    <t>22/01/2021</t>
  </si>
  <si>
    <t>PT-1283</t>
  </si>
  <si>
    <t>2023-11-21</t>
  </si>
  <si>
    <t>PT-1046</t>
  </si>
  <si>
    <t>08.10.2021</t>
  </si>
  <si>
    <t>PT-1455</t>
  </si>
  <si>
    <t>Ana Gupta</t>
  </si>
  <si>
    <t>07-11-2021</t>
  </si>
  <si>
    <t>PT-1177</t>
  </si>
  <si>
    <t>Aarav Singh</t>
  </si>
  <si>
    <t>27.08.2023</t>
  </si>
  <si>
    <t>PT-1086</t>
  </si>
  <si>
    <t>Reyansh Suzuki</t>
  </si>
  <si>
    <t>2023/08/29</t>
  </si>
  <si>
    <t>PT-1274</t>
  </si>
  <si>
    <t>2021-03-13</t>
  </si>
  <si>
    <t>PT-1152</t>
  </si>
  <si>
    <t>PT-1514</t>
  </si>
  <si>
    <t>John Nair</t>
  </si>
  <si>
    <t>2021/09/14</t>
  </si>
  <si>
    <t>PT-1198</t>
  </si>
  <si>
    <t>2022-08-04</t>
  </si>
  <si>
    <t>PT-1067</t>
  </si>
  <si>
    <t>Ishaan Kumar</t>
  </si>
  <si>
    <t>06.12.2021</t>
  </si>
  <si>
    <t>PT-1063</t>
  </si>
  <si>
    <t>2021/07/04</t>
  </si>
  <si>
    <t>PT-1427</t>
  </si>
  <si>
    <t>09.09.2023</t>
  </si>
  <si>
    <t>PT-1413</t>
  </si>
  <si>
    <t>Robert Ali</t>
  </si>
  <si>
    <t>09-May-2022</t>
  </si>
  <si>
    <t>PT-1529</t>
  </si>
  <si>
    <t>Reyansh Miller</t>
  </si>
  <si>
    <t>03-18-2023</t>
  </si>
  <si>
    <t>PT-1376</t>
  </si>
  <si>
    <t>Ming Ramirez</t>
  </si>
  <si>
    <t>PT-1174</t>
  </si>
  <si>
    <t>11.12.2023</t>
  </si>
  <si>
    <t>PT-1325</t>
  </si>
  <si>
    <t>2022-04-14</t>
  </si>
  <si>
    <t>PT-1341</t>
  </si>
  <si>
    <t>12/02/2021</t>
  </si>
  <si>
    <t>PT-1018</t>
  </si>
  <si>
    <t>PT-1199</t>
  </si>
  <si>
    <t>Anika Khan</t>
  </si>
  <si>
    <t>03/02/2021</t>
  </si>
  <si>
    <t>PT-1285</t>
  </si>
  <si>
    <t>05/12/2022</t>
  </si>
  <si>
    <t>PT-1100</t>
  </si>
  <si>
    <t>04-Apr-2023</t>
  </si>
  <si>
    <t>Doctor_ID</t>
  </si>
  <si>
    <t>Doctor_Name</t>
  </si>
  <si>
    <t>Years_Experience</t>
  </si>
  <si>
    <t>Consultation_Fee</t>
  </si>
  <si>
    <t>DOC-101</t>
  </si>
  <si>
    <t>Dr. Arvind Chen</t>
  </si>
  <si>
    <t>DOC-102</t>
  </si>
  <si>
    <t>Dr. Sunita Zhang</t>
  </si>
  <si>
    <t>NA</t>
  </si>
  <si>
    <t>DOC-103</t>
  </si>
  <si>
    <t>Dr. Arvind Wilson</t>
  </si>
  <si>
    <t>DOC-104</t>
  </si>
  <si>
    <t>Dr. Vikram Torres</t>
  </si>
  <si>
    <t>DOC-105</t>
  </si>
  <si>
    <t>Dr. Anita Sanchez</t>
  </si>
  <si>
    <t>DOC-106</t>
  </si>
  <si>
    <t>Dr. Rahul Khan</t>
  </si>
  <si>
    <t>Free</t>
  </si>
  <si>
    <t>DOC-107</t>
  </si>
  <si>
    <t>Dr. Neha Liu</t>
  </si>
  <si>
    <t>DOC-108</t>
  </si>
  <si>
    <t>Dr. Kavita Suzuki</t>
  </si>
  <si>
    <t>DOC-109</t>
  </si>
  <si>
    <t>Dr. Suresh Johnson</t>
  </si>
  <si>
    <t>DOC-110</t>
  </si>
  <si>
    <t>Dr. Arvind Ibrahim</t>
  </si>
  <si>
    <t>DOC-111</t>
  </si>
  <si>
    <t>Dr. Vikram Khan</t>
  </si>
  <si>
    <t>DOC-112</t>
  </si>
  <si>
    <t>Dr. Sunita Sanchez</t>
  </si>
  <si>
    <t>DOC-113</t>
  </si>
  <si>
    <t>Dr. Suresh Sanchez</t>
  </si>
  <si>
    <t>DOC-114</t>
  </si>
  <si>
    <t>Dr. Meera Torres</t>
  </si>
  <si>
    <t>DOC-115</t>
  </si>
  <si>
    <t>Dr. Pooja Liu</t>
  </si>
  <si>
    <t>DOC-116</t>
  </si>
  <si>
    <t>Dr. Neha Iyer</t>
  </si>
  <si>
    <t>DOC-117</t>
  </si>
  <si>
    <t>Dr. Pooja Garcia</t>
  </si>
  <si>
    <t>DOC-118</t>
  </si>
  <si>
    <t>Dr. Rahul Nair</t>
  </si>
  <si>
    <t>DOC-119</t>
  </si>
  <si>
    <t>Dr. Rajesh Gupta</t>
  </si>
  <si>
    <t>DOC-120</t>
  </si>
  <si>
    <t>Dr. Arvind Khan</t>
  </si>
  <si>
    <t>DOC-121</t>
  </si>
  <si>
    <t>Dr. Pooja Lopez</t>
  </si>
  <si>
    <t>DOC-122</t>
  </si>
  <si>
    <t>Dr. Neha Suzuki</t>
  </si>
  <si>
    <t>DOC-123</t>
  </si>
  <si>
    <t>Dr. Anita Mehta</t>
  </si>
  <si>
    <t>DOC-124</t>
  </si>
  <si>
    <t>Dr. Vikram Wang</t>
  </si>
  <si>
    <t>DOC-125</t>
  </si>
  <si>
    <t>Dr. Neha Kumar</t>
  </si>
  <si>
    <t>Test_ID</t>
  </si>
  <si>
    <t>Test_Name</t>
  </si>
  <si>
    <t>Test_Date</t>
  </si>
  <si>
    <t>Result_Value</t>
  </si>
  <si>
    <t>Unit</t>
  </si>
  <si>
    <t>Normal_Range</t>
  </si>
  <si>
    <t>Status</t>
  </si>
  <si>
    <t>LAB-2001</t>
  </si>
  <si>
    <t>Hemoglobin</t>
  </si>
  <si>
    <t>2022/07/18</t>
  </si>
  <si>
    <t>g/dL</t>
  </si>
  <si>
    <t>12-17</t>
  </si>
  <si>
    <t>Normal</t>
  </si>
  <si>
    <t>LAB-2002</t>
  </si>
  <si>
    <t>Cholesterol</t>
  </si>
  <si>
    <t>13.01.2023</t>
  </si>
  <si>
    <t>mg/dL</t>
  </si>
  <si>
    <t>125-200</t>
  </si>
  <si>
    <t>HIGH</t>
  </si>
  <si>
    <t>LAB-2003</t>
  </si>
  <si>
    <t>20.06.2023</t>
  </si>
  <si>
    <t>LAB-2004</t>
  </si>
  <si>
    <t>02-26-2023</t>
  </si>
  <si>
    <t>normal</t>
  </si>
  <si>
    <t>LAB-2005</t>
  </si>
  <si>
    <t>Blood Glucose</t>
  </si>
  <si>
    <t>16.01.2023</t>
  </si>
  <si>
    <t>70-110</t>
  </si>
  <si>
    <t>Pending</t>
  </si>
  <si>
    <t>LAB-2006</t>
  </si>
  <si>
    <t>WBC Count</t>
  </si>
  <si>
    <t>12-15-2021</t>
  </si>
  <si>
    <t>cells/uL</t>
  </si>
  <si>
    <t>4500-11000</t>
  </si>
  <si>
    <t>Low</t>
  </si>
  <si>
    <t>LAB-2007</t>
  </si>
  <si>
    <t>BMI</t>
  </si>
  <si>
    <t>21.09.2023</t>
  </si>
  <si>
    <t>kg/m2</t>
  </si>
  <si>
    <t>18.5-25</t>
  </si>
  <si>
    <t>LAB-2008</t>
  </si>
  <si>
    <t>05-13-2021</t>
  </si>
  <si>
    <t>LAB-2009</t>
  </si>
  <si>
    <t>02.09.2021</t>
  </si>
  <si>
    <t>LAB-2010</t>
  </si>
  <si>
    <t>10/12/2023</t>
  </si>
  <si>
    <t>LAB-2011</t>
  </si>
  <si>
    <t>2023-11-06</t>
  </si>
  <si>
    <t>LAB-2012</t>
  </si>
  <si>
    <t>07/12/2023</t>
  </si>
  <si>
    <t>LAB-2013</t>
  </si>
  <si>
    <t>17/05/2022</t>
  </si>
  <si>
    <t>LAB-2014</t>
  </si>
  <si>
    <t>High</t>
  </si>
  <si>
    <t>LAB-2015</t>
  </si>
  <si>
    <t>05-Sep-2023</t>
  </si>
  <si>
    <t>LAB-2016</t>
  </si>
  <si>
    <t>07-Feb-2022</t>
  </si>
  <si>
    <t>LAB-2017</t>
  </si>
  <si>
    <t>Blood Pressure</t>
  </si>
  <si>
    <t>09-25-2023</t>
  </si>
  <si>
    <t>mmHg</t>
  </si>
  <si>
    <t>90/60-120/80</t>
  </si>
  <si>
    <t>LAB-2018</t>
  </si>
  <si>
    <t>2022/02/03</t>
  </si>
  <si>
    <t>LAB-2019</t>
  </si>
  <si>
    <t>12-28-2021</t>
  </si>
  <si>
    <t>LAB-2020</t>
  </si>
  <si>
    <t>11-30-2022</t>
  </si>
  <si>
    <t>LAB-2021</t>
  </si>
  <si>
    <t>09-Jan-2022</t>
  </si>
  <si>
    <t>LAB-2022</t>
  </si>
  <si>
    <t>15-May-2021</t>
  </si>
  <si>
    <t>LAB-2023</t>
  </si>
  <si>
    <t>10/01/2022</t>
  </si>
  <si>
    <t>LAB-2024</t>
  </si>
  <si>
    <t>2023-08-25</t>
  </si>
  <si>
    <t>LAB-2025</t>
  </si>
  <si>
    <t>23/03/2023</t>
  </si>
  <si>
    <t>LAB-2026</t>
  </si>
  <si>
    <t>04.05.2023</t>
  </si>
  <si>
    <t>LAB-2027</t>
  </si>
  <si>
    <t>30/01/2023</t>
  </si>
  <si>
    <t>LAB-2028</t>
  </si>
  <si>
    <t>17-Mar-2023</t>
  </si>
  <si>
    <t>LAB-2029</t>
  </si>
  <si>
    <t>07-25-2023</t>
  </si>
  <si>
    <t>LAB-2030</t>
  </si>
  <si>
    <t>22-Oct-2022</t>
  </si>
  <si>
    <t>Critical</t>
  </si>
  <si>
    <t>LAB-2031</t>
  </si>
  <si>
    <t>06-21-2023</t>
  </si>
  <si>
    <t>LAB-2032</t>
  </si>
  <si>
    <t>2023-08-21</t>
  </si>
  <si>
    <t>LAB-2033</t>
  </si>
  <si>
    <t>2023-02-08</t>
  </si>
  <si>
    <t>LAB-2034</t>
  </si>
  <si>
    <t>2022-08-06</t>
  </si>
  <si>
    <t>LAB-2035</t>
  </si>
  <si>
    <t>28/04/2023</t>
  </si>
  <si>
    <t>LAB-2036</t>
  </si>
  <si>
    <t>2022/11/03</t>
  </si>
  <si>
    <t>LAB-2037</t>
  </si>
  <si>
    <t>2021-10-15</t>
  </si>
  <si>
    <t>abnormal</t>
  </si>
  <si>
    <t>LAB-2038</t>
  </si>
  <si>
    <t>20-Oct-2022</t>
  </si>
  <si>
    <t>LAB-2039</t>
  </si>
  <si>
    <t>2022/06/07</t>
  </si>
  <si>
    <t>LAB-2040</t>
  </si>
  <si>
    <t>2021/04/09</t>
  </si>
  <si>
    <t>LAB-2041</t>
  </si>
  <si>
    <t>2022/11/01</t>
  </si>
  <si>
    <t>LAB-2042</t>
  </si>
  <si>
    <t>2021/08/19</t>
  </si>
  <si>
    <t>LAB-2043</t>
  </si>
  <si>
    <t>2022-01-26</t>
  </si>
  <si>
    <t>LAB-2044</t>
  </si>
  <si>
    <t>27-Nov-2022</t>
  </si>
  <si>
    <t>LAB-2045</t>
  </si>
  <si>
    <t>2022-08-25</t>
  </si>
  <si>
    <t>LAB-2046</t>
  </si>
  <si>
    <t>PT-9046</t>
  </si>
  <si>
    <t>LAB-2047</t>
  </si>
  <si>
    <t>28.12.2022</t>
  </si>
  <si>
    <t>LAB-2048</t>
  </si>
  <si>
    <t>2023/12/29</t>
  </si>
  <si>
    <t>LAB-2049</t>
  </si>
  <si>
    <t>17.04.2022</t>
  </si>
  <si>
    <t>LAB-2050</t>
  </si>
  <si>
    <t>03-21-2022</t>
  </si>
  <si>
    <t>LAB-2051</t>
  </si>
  <si>
    <t>22-Feb-2021</t>
  </si>
  <si>
    <t>LAB-2052</t>
  </si>
  <si>
    <t>2023/02/19</t>
  </si>
  <si>
    <t>LAB-2053</t>
  </si>
  <si>
    <t>07/09/2021</t>
  </si>
  <si>
    <t>LAB-2054</t>
  </si>
  <si>
    <t>27/01/2022</t>
  </si>
  <si>
    <t>LAB-2055</t>
  </si>
  <si>
    <t>2021-02-03</t>
  </si>
  <si>
    <t>LAB-2056</t>
  </si>
  <si>
    <t>14-May-2021</t>
  </si>
  <si>
    <t>LAB-2057</t>
  </si>
  <si>
    <t>2023-08-24</t>
  </si>
  <si>
    <t>LAB-2058</t>
  </si>
  <si>
    <t>2021/12/30</t>
  </si>
  <si>
    <t>LAB-2059</t>
  </si>
  <si>
    <t>2021/05/06</t>
  </si>
  <si>
    <t>LAB-2060</t>
  </si>
  <si>
    <t>LAB-2061</t>
  </si>
  <si>
    <t>2021-11-29</t>
  </si>
  <si>
    <t>LAB-2062</t>
  </si>
  <si>
    <t>2022-10-20</t>
  </si>
  <si>
    <t>LAB-2063</t>
  </si>
  <si>
    <t>PT-9063</t>
  </si>
  <si>
    <t>23-Oct-2021</t>
  </si>
  <si>
    <t>LAB-2064</t>
  </si>
  <si>
    <t>16/12/2022</t>
  </si>
  <si>
    <t>LAB-2065</t>
  </si>
  <si>
    <t>2023/05/01</t>
  </si>
  <si>
    <t>LAB-2066</t>
  </si>
  <si>
    <t>11/06/2022</t>
  </si>
  <si>
    <t>LAB-2067</t>
  </si>
  <si>
    <t>LAB-2068</t>
  </si>
  <si>
    <t>14.07.2021</t>
  </si>
  <si>
    <t>LAB-2069</t>
  </si>
  <si>
    <t>09-09-2022</t>
  </si>
  <si>
    <t>LAB-2070</t>
  </si>
  <si>
    <t>09-27-2021</t>
  </si>
  <si>
    <t>LAB-2071</t>
  </si>
  <si>
    <t>09/04/2021</t>
  </si>
  <si>
    <t>LAB-2072</t>
  </si>
  <si>
    <t>03-24-2023</t>
  </si>
  <si>
    <t>LAB-2073</t>
  </si>
  <si>
    <t>11-Apr-2023</t>
  </si>
  <si>
    <t>LAB-2074</t>
  </si>
  <si>
    <t>11-20-2023</t>
  </si>
  <si>
    <t>LAB-2075</t>
  </si>
  <si>
    <t>17.07.2021</t>
  </si>
  <si>
    <t>LAB-2076</t>
  </si>
  <si>
    <t>2021-09-16</t>
  </si>
  <si>
    <t>LAB-2077</t>
  </si>
  <si>
    <t>12-13-2022</t>
  </si>
  <si>
    <t>LAB-2078</t>
  </si>
  <si>
    <t>LAB-2079</t>
  </si>
  <si>
    <t>LAB-2080</t>
  </si>
  <si>
    <t>LAB-2081</t>
  </si>
  <si>
    <t>09.04.2022</t>
  </si>
  <si>
    <t>LAB-2082</t>
  </si>
  <si>
    <t>LAB-2083</t>
  </si>
  <si>
    <t>2022-09-07</t>
  </si>
  <si>
    <t>LAB-2084</t>
  </si>
  <si>
    <t>2021-05-17</t>
  </si>
  <si>
    <t>LAB-2085</t>
  </si>
  <si>
    <t>12-May-2022</t>
  </si>
  <si>
    <t>LAB-2086</t>
  </si>
  <si>
    <t>04-09-2022</t>
  </si>
  <si>
    <t>LAB-2087</t>
  </si>
  <si>
    <t>07-19-2022</t>
  </si>
  <si>
    <t>LAB-2088</t>
  </si>
  <si>
    <t>23/08/2023</t>
  </si>
  <si>
    <t>LAB-2089</t>
  </si>
  <si>
    <t>12-01-2022</t>
  </si>
  <si>
    <t>LAB-2090</t>
  </si>
  <si>
    <t>11.12.2021</t>
  </si>
  <si>
    <t>LAB-2091</t>
  </si>
  <si>
    <t>13/01/2023</t>
  </si>
  <si>
    <t>LAB-2092</t>
  </si>
  <si>
    <t>28.07.2022</t>
  </si>
  <si>
    <t>LAB-2093</t>
  </si>
  <si>
    <t>2023-01-01</t>
  </si>
  <si>
    <t>LAB-2094</t>
  </si>
  <si>
    <t>08.06.2023</t>
  </si>
  <si>
    <t>LAB-2095</t>
  </si>
  <si>
    <t>2023/02/09</t>
  </si>
  <si>
    <t>LAB-2096</t>
  </si>
  <si>
    <t>2021/07/21</t>
  </si>
  <si>
    <t>LAB-2097</t>
  </si>
  <si>
    <t>14-May-2023</t>
  </si>
  <si>
    <t>LAB-2098</t>
  </si>
  <si>
    <t>2023-12-07</t>
  </si>
  <si>
    <t>LAB-2099</t>
  </si>
  <si>
    <t>2022-01-06</t>
  </si>
  <si>
    <t>LAB-2100</t>
  </si>
  <si>
    <t>06-04-2022</t>
  </si>
  <si>
    <t>LAB-2101</t>
  </si>
  <si>
    <t>27-Oct-2022</t>
  </si>
  <si>
    <t>LAB-2102</t>
  </si>
  <si>
    <t>19-Dec-2021</t>
  </si>
  <si>
    <t>LAB-2103</t>
  </si>
  <si>
    <t>05.07.2021</t>
  </si>
  <si>
    <t>LAB-2104</t>
  </si>
  <si>
    <t>09-22-2023</t>
  </si>
  <si>
    <t>LAB-2105</t>
  </si>
  <si>
    <t>17/08/2021</t>
  </si>
  <si>
    <t>LAB-2106</t>
  </si>
  <si>
    <t>2023/03/27</t>
  </si>
  <si>
    <t>LAB-2107</t>
  </si>
  <si>
    <t>2022/11/28</t>
  </si>
  <si>
    <t>LAB-2108</t>
  </si>
  <si>
    <t>2022/08/25</t>
  </si>
  <si>
    <t>LAB-2109</t>
  </si>
  <si>
    <t>14.11.2021</t>
  </si>
  <si>
    <t>LAB-2110</t>
  </si>
  <si>
    <t>19/03/2022</t>
  </si>
  <si>
    <t>LAB-2111</t>
  </si>
  <si>
    <t>18-Jun-2023</t>
  </si>
  <si>
    <t>LAB-2112</t>
  </si>
  <si>
    <t>30.03.2023</t>
  </si>
  <si>
    <t>LAB-2113</t>
  </si>
  <si>
    <t>01-29-2023</t>
  </si>
  <si>
    <t>LAB-2114</t>
  </si>
  <si>
    <t>2022/05/21</t>
  </si>
  <si>
    <t>LAB-2115</t>
  </si>
  <si>
    <t>2021/08/03</t>
  </si>
  <si>
    <t>LAB-2116</t>
  </si>
  <si>
    <t>19-Apr-2021</t>
  </si>
  <si>
    <t>LAB-2117</t>
  </si>
  <si>
    <t>2023/07/08</t>
  </si>
  <si>
    <t>LAB-2118</t>
  </si>
  <si>
    <t>2022/07/20</t>
  </si>
  <si>
    <t>LAB-2119</t>
  </si>
  <si>
    <t>PT-9119</t>
  </si>
  <si>
    <t>01-Oct-2021</t>
  </si>
  <si>
    <t>LAB-2120</t>
  </si>
  <si>
    <t>07-Nov-2023</t>
  </si>
  <si>
    <t>LAB-2121</t>
  </si>
  <si>
    <t>19.04.2021</t>
  </si>
  <si>
    <t>LAB-2122</t>
  </si>
  <si>
    <t>27.11.2021</t>
  </si>
  <si>
    <t>LAB-2123</t>
  </si>
  <si>
    <t>11.10.2023</t>
  </si>
  <si>
    <t>LAB-2124</t>
  </si>
  <si>
    <t>05-Mar-2023</t>
  </si>
  <si>
    <t>LAB-2125</t>
  </si>
  <si>
    <t>30.12.2021</t>
  </si>
  <si>
    <t>LAB-2126</t>
  </si>
  <si>
    <t>21.12.2022</t>
  </si>
  <si>
    <t>LAB-2127</t>
  </si>
  <si>
    <t>2021/05/05</t>
  </si>
  <si>
    <t>LAB-2128</t>
  </si>
  <si>
    <t>2021-01-26</t>
  </si>
  <si>
    <t>LAB-2129</t>
  </si>
  <si>
    <t>22.01.2022</t>
  </si>
  <si>
    <t>LAB-2130</t>
  </si>
  <si>
    <t>2021/11/13</t>
  </si>
  <si>
    <t>LAB-2131</t>
  </si>
  <si>
    <t>LAB-2132</t>
  </si>
  <si>
    <t>PT-9132</t>
  </si>
  <si>
    <t>09-04-2021</t>
  </si>
  <si>
    <t>LAB-2133</t>
  </si>
  <si>
    <t>24-Jul-2021</t>
  </si>
  <si>
    <t>LAB-2134</t>
  </si>
  <si>
    <t>08-Mar-2023</t>
  </si>
  <si>
    <t>LAB-2135</t>
  </si>
  <si>
    <t>03/10/2023</t>
  </si>
  <si>
    <t>LAB-2136</t>
  </si>
  <si>
    <t>2021/07/22</t>
  </si>
  <si>
    <t>LAB-2137</t>
  </si>
  <si>
    <t>05-Dec-2023</t>
  </si>
  <si>
    <t>LAB-2138</t>
  </si>
  <si>
    <t>23.08.2022</t>
  </si>
  <si>
    <t>LAB-2139</t>
  </si>
  <si>
    <t>2022/10/21</t>
  </si>
  <si>
    <t>LAB-2140</t>
  </si>
  <si>
    <t>2021/04/23</t>
  </si>
  <si>
    <t>LAB-2141</t>
  </si>
  <si>
    <t>22.12.2021</t>
  </si>
  <si>
    <t>LAB-2142</t>
  </si>
  <si>
    <t>01-21-2022</t>
  </si>
  <si>
    <t>LAB-2143</t>
  </si>
  <si>
    <t>2022/01/01</t>
  </si>
  <si>
    <t>LAB-2144</t>
  </si>
  <si>
    <t>30.03.2022</t>
  </si>
  <si>
    <t>LAB-2145</t>
  </si>
  <si>
    <t>2021-02-01</t>
  </si>
  <si>
    <t>LAB-2146</t>
  </si>
  <si>
    <t>08.05.2022</t>
  </si>
  <si>
    <t>LAB-2147</t>
  </si>
  <si>
    <t>02/04/2021</t>
  </si>
  <si>
    <t>LAB-2148</t>
  </si>
  <si>
    <t>27/09/2022</t>
  </si>
  <si>
    <t>LAB-2149</t>
  </si>
  <si>
    <t>24-Jan-2022</t>
  </si>
  <si>
    <t>LAB-2150</t>
  </si>
  <si>
    <t>PT-9150</t>
  </si>
  <si>
    <t>09/07/2023</t>
  </si>
  <si>
    <t>LAB-2151</t>
  </si>
  <si>
    <t>17/05/2021</t>
  </si>
  <si>
    <t>LAB-2152</t>
  </si>
  <si>
    <t>03-27-2023</t>
  </si>
  <si>
    <t>LAB-2153</t>
  </si>
  <si>
    <t>2022-02-18</t>
  </si>
  <si>
    <t>LAB-2154</t>
  </si>
  <si>
    <t>2021-08-12</t>
  </si>
  <si>
    <t>LAB-2155</t>
  </si>
  <si>
    <t>19/05/2021</t>
  </si>
  <si>
    <t>LAB-2156</t>
  </si>
  <si>
    <t>29/10/2023</t>
  </si>
  <si>
    <t>LAB-2157</t>
  </si>
  <si>
    <t>29/05/2022</t>
  </si>
  <si>
    <t>LAB-2158</t>
  </si>
  <si>
    <t>2022/08/21</t>
  </si>
  <si>
    <t>LAB-2159</t>
  </si>
  <si>
    <t>21-Feb-2021</t>
  </si>
  <si>
    <t>LAB-2160</t>
  </si>
  <si>
    <t>2022-10-13</t>
  </si>
  <si>
    <t>LAB-2161</t>
  </si>
  <si>
    <t>LAB-2162</t>
  </si>
  <si>
    <t>PT-9162</t>
  </si>
  <si>
    <t>13-Jan-2021</t>
  </si>
  <si>
    <t>LAB-2163</t>
  </si>
  <si>
    <t>05.04.2022</t>
  </si>
  <si>
    <t>LAB-2164</t>
  </si>
  <si>
    <t>03-02-2023</t>
  </si>
  <si>
    <t>LAB-2165</t>
  </si>
  <si>
    <t>08.12.2022</t>
  </si>
  <si>
    <t>LAB-2166</t>
  </si>
  <si>
    <t>04/04/2022</t>
  </si>
  <si>
    <t>LAB-2167</t>
  </si>
  <si>
    <t>24.01.2023</t>
  </si>
  <si>
    <t>LAB-2168</t>
  </si>
  <si>
    <t>10-Apr-2022</t>
  </si>
  <si>
    <t>LAB-2169</t>
  </si>
  <si>
    <t>16-Jul-2023</t>
  </si>
  <si>
    <t>LAB-2170</t>
  </si>
  <si>
    <t>22/12/2023</t>
  </si>
  <si>
    <t>LAB-2171</t>
  </si>
  <si>
    <t>15-Jan-2023</t>
  </si>
  <si>
    <t>LAB-2172</t>
  </si>
  <si>
    <t>2021/08/11</t>
  </si>
  <si>
    <t>LAB-2173</t>
  </si>
  <si>
    <t>17.11.2021</t>
  </si>
  <si>
    <t>LAB-2174</t>
  </si>
  <si>
    <t>12-19-2021</t>
  </si>
  <si>
    <t>LAB-2175</t>
  </si>
  <si>
    <t>19.05.2022</t>
  </si>
  <si>
    <t>LAB-2176</t>
  </si>
  <si>
    <t>2021-07-18</t>
  </si>
  <si>
    <t>LAB-2177</t>
  </si>
  <si>
    <t>PT-9177</t>
  </si>
  <si>
    <t>07-04-2021</t>
  </si>
  <si>
    <t>LAB-2178</t>
  </si>
  <si>
    <t>LAB-2179</t>
  </si>
  <si>
    <t>24/11/2021</t>
  </si>
  <si>
    <t>LAB-2180</t>
  </si>
  <si>
    <t>20.08.2023</t>
  </si>
  <si>
    <t>LAB-2181</t>
  </si>
  <si>
    <t>28-Oct-2021</t>
  </si>
  <si>
    <t>LAB-2182</t>
  </si>
  <si>
    <t>2021/02/10</t>
  </si>
  <si>
    <t>LAB-2183</t>
  </si>
  <si>
    <t>05.10.2023</t>
  </si>
  <si>
    <t>LAB-2184</t>
  </si>
  <si>
    <t>07.09.2022</t>
  </si>
  <si>
    <t>LAB-2185</t>
  </si>
  <si>
    <t>LAB-2186</t>
  </si>
  <si>
    <t>02/06/2022</t>
  </si>
  <si>
    <t>LAB-2187</t>
  </si>
  <si>
    <t>17.04.2021</t>
  </si>
  <si>
    <t>LAB-2188</t>
  </si>
  <si>
    <t>13.07.2022</t>
  </si>
  <si>
    <t>LAB-2189</t>
  </si>
  <si>
    <t>22.01.2021</t>
  </si>
  <si>
    <t>LAB-2190</t>
  </si>
  <si>
    <t>08.07.2022</t>
  </si>
  <si>
    <t>LAB-2191</t>
  </si>
  <si>
    <t>14.04.2023</t>
  </si>
  <si>
    <t>LAB-2192</t>
  </si>
  <si>
    <t>2022-07-01</t>
  </si>
  <si>
    <t>LAB-2193</t>
  </si>
  <si>
    <t>17/02/2021</t>
  </si>
  <si>
    <t>LAB-2194</t>
  </si>
  <si>
    <t>2022-05-01</t>
  </si>
  <si>
    <t>LAB-2195</t>
  </si>
  <si>
    <t>2021/11/16</t>
  </si>
  <si>
    <t>LAB-2196</t>
  </si>
  <si>
    <t>12/10/2021</t>
  </si>
  <si>
    <t>LAB-2197</t>
  </si>
  <si>
    <t>23/04/2022</t>
  </si>
  <si>
    <t>LAB-2198</t>
  </si>
  <si>
    <t>09.02.2022</t>
  </si>
  <si>
    <t>LAB-2199</t>
  </si>
  <si>
    <t>06-May-2021</t>
  </si>
  <si>
    <t>LAB-2200</t>
  </si>
  <si>
    <t>PT-9200</t>
  </si>
  <si>
    <t>2021/10/22</t>
  </si>
  <si>
    <t>LAB-2201</t>
  </si>
  <si>
    <t>12/04/2022</t>
  </si>
  <si>
    <t>LAB-2202</t>
  </si>
  <si>
    <t>08/08/2022</t>
  </si>
  <si>
    <t>LAB-2203</t>
  </si>
  <si>
    <t>05-31-2022</t>
  </si>
  <si>
    <t>LAB-2204</t>
  </si>
  <si>
    <t>2023-05-31</t>
  </si>
  <si>
    <t>LAB-2205</t>
  </si>
  <si>
    <t>11.01.2023</t>
  </si>
  <si>
    <t>LAB-2206</t>
  </si>
  <si>
    <t>09-11-2023</t>
  </si>
  <si>
    <t>LAB-2207</t>
  </si>
  <si>
    <t>2022/04/13</t>
  </si>
  <si>
    <t>LAB-2208</t>
  </si>
  <si>
    <t>06-Apr-2023</t>
  </si>
  <si>
    <t>LAB-2209</t>
  </si>
  <si>
    <t>10-13-2021</t>
  </si>
  <si>
    <t>LAB-2210</t>
  </si>
  <si>
    <t>20/12/2021</t>
  </si>
  <si>
    <t>LAB-2211</t>
  </si>
  <si>
    <t>2022-02-10</t>
  </si>
  <si>
    <t>LAB-2212</t>
  </si>
  <si>
    <t>20-Oct-2023</t>
  </si>
  <si>
    <t>LAB-2213</t>
  </si>
  <si>
    <t>25.10.2022</t>
  </si>
  <si>
    <t>LAB-2214</t>
  </si>
  <si>
    <t>20-Mar-2022</t>
  </si>
  <si>
    <t>LAB-2215</t>
  </si>
  <si>
    <t>LAB-2216</t>
  </si>
  <si>
    <t>09-20-2021</t>
  </si>
  <si>
    <t>LAB-2217</t>
  </si>
  <si>
    <t>PT-9217</t>
  </si>
  <si>
    <t>31.10.2022</t>
  </si>
  <si>
    <t>LAB-2218</t>
  </si>
  <si>
    <t>LAB-2219</t>
  </si>
  <si>
    <t>26-May-2022</t>
  </si>
  <si>
    <t>LAB-2220</t>
  </si>
  <si>
    <t>2022-10-21</t>
  </si>
  <si>
    <t>LAB-2221</t>
  </si>
  <si>
    <t>01-31-2022</t>
  </si>
  <si>
    <t>LAB-2222</t>
  </si>
  <si>
    <t>01-07-2021</t>
  </si>
  <si>
    <t>LAB-2223</t>
  </si>
  <si>
    <t>09-20-2023</t>
  </si>
  <si>
    <t>LAB-2224</t>
  </si>
  <si>
    <t>LAB-2225</t>
  </si>
  <si>
    <t>10-Feb-2023</t>
  </si>
  <si>
    <t>LAB-2226</t>
  </si>
  <si>
    <t>2023-05-14</t>
  </si>
  <si>
    <t>LAB-2227</t>
  </si>
  <si>
    <t>LAB-2228</t>
  </si>
  <si>
    <t>07-18-2023</t>
  </si>
  <si>
    <t>LAB-2229</t>
  </si>
  <si>
    <t>09-05-2023</t>
  </si>
  <si>
    <t>LAB-2230</t>
  </si>
  <si>
    <t>26-Oct-2022</t>
  </si>
  <si>
    <t>LAB-2231</t>
  </si>
  <si>
    <t>2021/03/22</t>
  </si>
  <si>
    <t>LAB-2232</t>
  </si>
  <si>
    <t>14/10/2021</t>
  </si>
  <si>
    <t>LAB-2233</t>
  </si>
  <si>
    <t>01-02-2023</t>
  </si>
  <si>
    <t>LAB-2234</t>
  </si>
  <si>
    <t>LAB-2235</t>
  </si>
  <si>
    <t>08-25-2021</t>
  </si>
  <si>
    <t>LAB-2236</t>
  </si>
  <si>
    <t>07-Apr-2022</t>
  </si>
  <si>
    <t>LAB-2237</t>
  </si>
  <si>
    <t>2021/10/09</t>
  </si>
  <si>
    <t>LAB-2238</t>
  </si>
  <si>
    <t>2023-10-06</t>
  </si>
  <si>
    <t>LAB-2239</t>
  </si>
  <si>
    <t>2023-10-04</t>
  </si>
  <si>
    <t>LAB-2240</t>
  </si>
  <si>
    <t>25/03/2023</t>
  </si>
  <si>
    <t>LAB-2241</t>
  </si>
  <si>
    <t>PT-9241</t>
  </si>
  <si>
    <t>2022/06/29</t>
  </si>
  <si>
    <t>LAB-2242</t>
  </si>
  <si>
    <t>02-05-2022</t>
  </si>
  <si>
    <t>LAB-2243</t>
  </si>
  <si>
    <t>15-Nov-2023</t>
  </si>
  <si>
    <t>LAB-2244</t>
  </si>
  <si>
    <t>26/02/2022</t>
  </si>
  <si>
    <t>LAB-2245</t>
  </si>
  <si>
    <t>2022/04/16</t>
  </si>
  <si>
    <t>LAB-2246</t>
  </si>
  <si>
    <t>15/11/2022</t>
  </si>
  <si>
    <t>LAB-2247</t>
  </si>
  <si>
    <t>05-Dec-2021</t>
  </si>
  <si>
    <t>LAB-2248</t>
  </si>
  <si>
    <t>2021-01-01</t>
  </si>
  <si>
    <t>LAB-2249</t>
  </si>
  <si>
    <t>2021-11-23</t>
  </si>
  <si>
    <t>LAB-2250</t>
  </si>
  <si>
    <t>2023-02-03</t>
  </si>
  <si>
    <t>LAB-2251</t>
  </si>
  <si>
    <t>11/09/2022</t>
  </si>
  <si>
    <t>LAB-2252</t>
  </si>
  <si>
    <t>04-Mar-2021</t>
  </si>
  <si>
    <t>LAB-2253</t>
  </si>
  <si>
    <t>07-14-2022</t>
  </si>
  <si>
    <t>LAB-2254</t>
  </si>
  <si>
    <t>LAB-2255</t>
  </si>
  <si>
    <t>PT-9255</t>
  </si>
  <si>
    <t>LAB-2256</t>
  </si>
  <si>
    <t>02-20-2022</t>
  </si>
  <si>
    <t>LAB-2257</t>
  </si>
  <si>
    <t>04.01.2021</t>
  </si>
  <si>
    <t>LAB-2258</t>
  </si>
  <si>
    <t>20.04.2022</t>
  </si>
  <si>
    <t>LAB-2259</t>
  </si>
  <si>
    <t>12-02-2021</t>
  </si>
  <si>
    <t>LAB-2260</t>
  </si>
  <si>
    <t>14/04/2023</t>
  </si>
  <si>
    <t>LAB-2261</t>
  </si>
  <si>
    <t>10.10.2023</t>
  </si>
  <si>
    <t>LAB-2262</t>
  </si>
  <si>
    <t>LAB-2263</t>
  </si>
  <si>
    <t>2021/10/25</t>
  </si>
  <si>
    <t>LAB-2264</t>
  </si>
  <si>
    <t>26.02.2022</t>
  </si>
  <si>
    <t>LAB-2265</t>
  </si>
  <si>
    <t>2023-12-01</t>
  </si>
  <si>
    <t>LAB-2266</t>
  </si>
  <si>
    <t>17-Nov-2022</t>
  </si>
  <si>
    <t>LAB-2267</t>
  </si>
  <si>
    <t>16/03/2023</t>
  </si>
  <si>
    <t>LAB-2268</t>
  </si>
  <si>
    <t>15.11.2021</t>
  </si>
  <si>
    <t>LAB-2269</t>
  </si>
  <si>
    <t>PT-9269</t>
  </si>
  <si>
    <t>09-Aug-2021</t>
  </si>
  <si>
    <t>LAB-2270</t>
  </si>
  <si>
    <t>2022/03/05</t>
  </si>
  <si>
    <t>LAB-2271</t>
  </si>
  <si>
    <t>PT-9271</t>
  </si>
  <si>
    <t>16.01.2022</t>
  </si>
  <si>
    <t>LAB-2272</t>
  </si>
  <si>
    <t>2023-04-06</t>
  </si>
  <si>
    <t>LAB-2273</t>
  </si>
  <si>
    <t>07.09.2023</t>
  </si>
  <si>
    <t>LAB-2274</t>
  </si>
  <si>
    <t>08.06.2022</t>
  </si>
  <si>
    <t>LAB-2275</t>
  </si>
  <si>
    <t>20.12.2022</t>
  </si>
  <si>
    <t>LAB-2276</t>
  </si>
  <si>
    <t>LAB-2277</t>
  </si>
  <si>
    <t>2022/05/10</t>
  </si>
  <si>
    <t>LAB-2278</t>
  </si>
  <si>
    <t>LAB-2279</t>
  </si>
  <si>
    <t>26/10/2023</t>
  </si>
  <si>
    <t>LAB-2280</t>
  </si>
  <si>
    <t>04-10-2021</t>
  </si>
  <si>
    <t>LAB-2281</t>
  </si>
  <si>
    <t>2021-11-30</t>
  </si>
  <si>
    <t>LAB-2282</t>
  </si>
  <si>
    <t>07/06/2021</t>
  </si>
  <si>
    <t>LAB-2283</t>
  </si>
  <si>
    <t>28-Dec-2021</t>
  </si>
  <si>
    <t>LAB-2284</t>
  </si>
  <si>
    <t>LAB-2285</t>
  </si>
  <si>
    <t>18-Feb-2021</t>
  </si>
  <si>
    <t>LAB-2286</t>
  </si>
  <si>
    <t>LAB-2287</t>
  </si>
  <si>
    <t>2023-05-15</t>
  </si>
  <si>
    <t>LAB-2288</t>
  </si>
  <si>
    <t>14/05/2022</t>
  </si>
  <si>
    <t>LAB-2289</t>
  </si>
  <si>
    <t>2023/02/04</t>
  </si>
  <si>
    <t>LAB-2290</t>
  </si>
  <si>
    <t>23/03/2021</t>
  </si>
  <si>
    <t>LAB-2291</t>
  </si>
  <si>
    <t>2021-01-25</t>
  </si>
  <si>
    <t>LAB-2292</t>
  </si>
  <si>
    <t>10-08-2021</t>
  </si>
  <si>
    <t>LAB-2293</t>
  </si>
  <si>
    <t>2022-03-15</t>
  </si>
  <si>
    <t>LAB-2294</t>
  </si>
  <si>
    <t>11/11/2023</t>
  </si>
  <si>
    <t>LAB-2295</t>
  </si>
  <si>
    <t>27.04.2023</t>
  </si>
  <si>
    <t>LAB-2296</t>
  </si>
  <si>
    <t>19-Oct-2022</t>
  </si>
  <si>
    <t>LAB-2297</t>
  </si>
  <si>
    <t>LAB-2298</t>
  </si>
  <si>
    <t>19/11/2021</t>
  </si>
  <si>
    <t>LAB-2299</t>
  </si>
  <si>
    <t>2021/05/16</t>
  </si>
  <si>
    <t>LAB-2300</t>
  </si>
  <si>
    <t>23-Jul-2022</t>
  </si>
  <si>
    <t>LAB-2301</t>
  </si>
  <si>
    <t>11-01-2022</t>
  </si>
  <si>
    <t>LAB-2302</t>
  </si>
  <si>
    <t>09-30-2023</t>
  </si>
  <si>
    <t>LAB-2303</t>
  </si>
  <si>
    <t>07-10-2022</t>
  </si>
  <si>
    <t>LAB-2304</t>
  </si>
  <si>
    <t>12-15-2022</t>
  </si>
  <si>
    <t>LAB-2305</t>
  </si>
  <si>
    <t>2022/01/21</t>
  </si>
  <si>
    <t>LAB-2306</t>
  </si>
  <si>
    <t>23-Feb-2022</t>
  </si>
  <si>
    <t>LAB-2307</t>
  </si>
  <si>
    <t>22/11/2022</t>
  </si>
  <si>
    <t>LAB-2308</t>
  </si>
  <si>
    <t>2023/07/30</t>
  </si>
  <si>
    <t>LAB-2309</t>
  </si>
  <si>
    <t>2023-03-17</t>
  </si>
  <si>
    <t>LAB-2310</t>
  </si>
  <si>
    <t>2022/07/22</t>
  </si>
  <si>
    <t>LAB-2311</t>
  </si>
  <si>
    <t>10-Aug-2021</t>
  </si>
  <si>
    <t>LAB-2312</t>
  </si>
  <si>
    <t>2021-04-22</t>
  </si>
  <si>
    <t>LAB-2313</t>
  </si>
  <si>
    <t>LAB-2314</t>
  </si>
  <si>
    <t>07-22-2022</t>
  </si>
  <si>
    <t>LAB-2315</t>
  </si>
  <si>
    <t>30/04/2022</t>
  </si>
  <si>
    <t>LAB-2316</t>
  </si>
  <si>
    <t>24/02/2023</t>
  </si>
  <si>
    <t>LAB-2317</t>
  </si>
  <si>
    <t>PT-9317</t>
  </si>
  <si>
    <t>07-Jul-2022</t>
  </si>
  <si>
    <t>LAB-2318</t>
  </si>
  <si>
    <t>06/12/2021</t>
  </si>
  <si>
    <t>LAB-2319</t>
  </si>
  <si>
    <t>03-Mar-2023</t>
  </si>
  <si>
    <t>LAB-2320</t>
  </si>
  <si>
    <t>04.11.2021</t>
  </si>
  <si>
    <t>LAB-2321</t>
  </si>
  <si>
    <t>04-Oct-2023</t>
  </si>
  <si>
    <t>LAB-2322</t>
  </si>
  <si>
    <t>LAB-2323</t>
  </si>
  <si>
    <t>13/02/2023</t>
  </si>
  <si>
    <t>LAB-2324</t>
  </si>
  <si>
    <t>19/08/2022</t>
  </si>
  <si>
    <t>LAB-2325</t>
  </si>
  <si>
    <t>13-May-2021</t>
  </si>
  <si>
    <t>LAB-2326</t>
  </si>
  <si>
    <t>02-Jul-2023</t>
  </si>
  <si>
    <t>LAB-2327</t>
  </si>
  <si>
    <t>17-Jun-2022</t>
  </si>
  <si>
    <t>LAB-2328</t>
  </si>
  <si>
    <t>16-Mar-2021</t>
  </si>
  <si>
    <t>LAB-2329</t>
  </si>
  <si>
    <t>04-13-2021</t>
  </si>
  <si>
    <t>LAB-2330</t>
  </si>
  <si>
    <t>06-12-2023</t>
  </si>
  <si>
    <t>LAB-2331</t>
  </si>
  <si>
    <t>LAB-2332</t>
  </si>
  <si>
    <t>LAB-2333</t>
  </si>
  <si>
    <t>07-27-2021</t>
  </si>
  <si>
    <t>LAB-2334</t>
  </si>
  <si>
    <t>02/01/2022</t>
  </si>
  <si>
    <t>LAB-2335</t>
  </si>
  <si>
    <t>2022/07/12</t>
  </si>
  <si>
    <t>LAB-2336</t>
  </si>
  <si>
    <t>19/08/2023</t>
  </si>
  <si>
    <t>LAB-2337</t>
  </si>
  <si>
    <t>19-May-2022</t>
  </si>
  <si>
    <t>LAB-2338</t>
  </si>
  <si>
    <t>2021-03-28</t>
  </si>
  <si>
    <t>LAB-2339</t>
  </si>
  <si>
    <t>PT-9339</t>
  </si>
  <si>
    <t>2023/03/20</t>
  </si>
  <si>
    <t>LAB-2340</t>
  </si>
  <si>
    <t>12-01-2023</t>
  </si>
  <si>
    <t>LAB-2341</t>
  </si>
  <si>
    <t>LAB-2342</t>
  </si>
  <si>
    <t>25-Apr-2023</t>
  </si>
  <si>
    <t>LAB-2343</t>
  </si>
  <si>
    <t>18-Mar-2022</t>
  </si>
  <si>
    <t>LAB-2344</t>
  </si>
  <si>
    <t>16/05/2022</t>
  </si>
  <si>
    <t>LAB-2345</t>
  </si>
  <si>
    <t>08-11-2023</t>
  </si>
  <si>
    <t>LAB-2346</t>
  </si>
  <si>
    <t>LAB-2347</t>
  </si>
  <si>
    <t>2021/06/09</t>
  </si>
  <si>
    <t>LAB-2348</t>
  </si>
  <si>
    <t>2023-09-09</t>
  </si>
  <si>
    <t>LAB-2349</t>
  </si>
  <si>
    <t>26.10.2021</t>
  </si>
  <si>
    <t>LAB-2350</t>
  </si>
  <si>
    <t>19-Feb-2021</t>
  </si>
  <si>
    <t>LAB-2351</t>
  </si>
  <si>
    <t>2023-01-24</t>
  </si>
  <si>
    <t>LAB-2352</t>
  </si>
  <si>
    <t>2023-11-19</t>
  </si>
  <si>
    <t>LAB-2353</t>
  </si>
  <si>
    <t>02-13-2023</t>
  </si>
  <si>
    <t>LAB-2354</t>
  </si>
  <si>
    <t>2022-02-07</t>
  </si>
  <si>
    <t>LAB-2355</t>
  </si>
  <si>
    <t>30/09/2021</t>
  </si>
  <si>
    <t>LAB-2356</t>
  </si>
  <si>
    <t>LAB-2357</t>
  </si>
  <si>
    <t>25-Mar-2022</t>
  </si>
  <si>
    <t>LAB-2358</t>
  </si>
  <si>
    <t>2022/12/03</t>
  </si>
  <si>
    <t>LAB-2359</t>
  </si>
  <si>
    <t>09.11.2022</t>
  </si>
  <si>
    <t>LAB-2360</t>
  </si>
  <si>
    <t>18/05/2022</t>
  </si>
  <si>
    <t>LAB-2361</t>
  </si>
  <si>
    <t>2023-04-09</t>
  </si>
  <si>
    <t>LAB-2362</t>
  </si>
  <si>
    <t>25/03/2022</t>
  </si>
  <si>
    <t>LAB-2363</t>
  </si>
  <si>
    <t>2023/05/09</t>
  </si>
  <si>
    <t>LAB-2364</t>
  </si>
  <si>
    <t>05-16-2021</t>
  </si>
  <si>
    <t>LAB-2365</t>
  </si>
  <si>
    <t>03-04-2021</t>
  </si>
  <si>
    <t>LAB-2366</t>
  </si>
  <si>
    <t>LAB-2367</t>
  </si>
  <si>
    <t>12-04-2021</t>
  </si>
  <si>
    <t>LAB-2368</t>
  </si>
  <si>
    <t>18.06.2021</t>
  </si>
  <si>
    <t>LAB-2369</t>
  </si>
  <si>
    <t>2021-11-08</t>
  </si>
  <si>
    <t>LAB-2370</t>
  </si>
  <si>
    <t>02.01.2023</t>
  </si>
  <si>
    <t>LAB-2371</t>
  </si>
  <si>
    <t>2021-06-18</t>
  </si>
  <si>
    <t>LAB-2372</t>
  </si>
  <si>
    <t>LAB-2373</t>
  </si>
  <si>
    <t>LAB-2374</t>
  </si>
  <si>
    <t>2022-08-05</t>
  </si>
  <si>
    <t>LAB-2375</t>
  </si>
  <si>
    <t>11-09-2023</t>
  </si>
  <si>
    <t>LAB-2376</t>
  </si>
  <si>
    <t>26.09.2022</t>
  </si>
  <si>
    <t>LAB-2377</t>
  </si>
  <si>
    <t>2021/05/01</t>
  </si>
  <si>
    <t>LAB-2378</t>
  </si>
  <si>
    <t>08-02-2022</t>
  </si>
  <si>
    <t>LAB-2379</t>
  </si>
  <si>
    <t>12.09.2022</t>
  </si>
  <si>
    <t>LAB-2380</t>
  </si>
  <si>
    <t>2021-05-16</t>
  </si>
  <si>
    <t>LAB-2381</t>
  </si>
  <si>
    <t>25-Oct-2022</t>
  </si>
  <si>
    <t>LAB-2382</t>
  </si>
  <si>
    <t>2022-01-12</t>
  </si>
  <si>
    <t>LAB-2383</t>
  </si>
  <si>
    <t>28/03/2021</t>
  </si>
  <si>
    <t>LAB-2384</t>
  </si>
  <si>
    <t>2023-05-06</t>
  </si>
  <si>
    <t>LAB-2385</t>
  </si>
  <si>
    <t>2021-01-06</t>
  </si>
  <si>
    <t>LAB-2386</t>
  </si>
  <si>
    <t>11-01-2023</t>
  </si>
  <si>
    <t>LAB-2387</t>
  </si>
  <si>
    <t>22-Mar-2021</t>
  </si>
  <si>
    <t>LAB-2388</t>
  </si>
  <si>
    <t>2023/04/15</t>
  </si>
  <si>
    <t>LAB-2389</t>
  </si>
  <si>
    <t>04-18-2022</t>
  </si>
  <si>
    <t>LAB-2390</t>
  </si>
  <si>
    <t>LAB-2391</t>
  </si>
  <si>
    <t>05-May-2022</t>
  </si>
  <si>
    <t>LAB-2392</t>
  </si>
  <si>
    <t>2023-05-04</t>
  </si>
  <si>
    <t>LAB-2393</t>
  </si>
  <si>
    <t>2023/10/15</t>
  </si>
  <si>
    <t>LAB-2394</t>
  </si>
  <si>
    <t>2023/03/08</t>
  </si>
  <si>
    <t>LAB-2395</t>
  </si>
  <si>
    <t>05.11.2022</t>
  </si>
  <si>
    <t>LAB-2396</t>
  </si>
  <si>
    <t>PT-9396</t>
  </si>
  <si>
    <t>13/06/2022</t>
  </si>
  <si>
    <t>LAB-2397</t>
  </si>
  <si>
    <t>LAB-2398</t>
  </si>
  <si>
    <t>2021-09-06</t>
  </si>
  <si>
    <t>LAB-2399</t>
  </si>
  <si>
    <t>07-14-2023</t>
  </si>
  <si>
    <t>LAB-2400</t>
  </si>
  <si>
    <t>2022-07-24</t>
  </si>
  <si>
    <t>LAB-2401</t>
  </si>
  <si>
    <t>28.05.2022</t>
  </si>
  <si>
    <t>LAB-2402</t>
  </si>
  <si>
    <t>02/12/2022</t>
  </si>
  <si>
    <t>LAB-2403</t>
  </si>
  <si>
    <t>2022-12-21</t>
  </si>
  <si>
    <t>LAB-2404</t>
  </si>
  <si>
    <t>05/04/2023</t>
  </si>
  <si>
    <t>LAB-2405</t>
  </si>
  <si>
    <t>18.05.2021</t>
  </si>
  <si>
    <t>LAB-2406</t>
  </si>
  <si>
    <t>22.10.2022</t>
  </si>
  <si>
    <t>LAB-2407</t>
  </si>
  <si>
    <t>2022-12-29</t>
  </si>
  <si>
    <t>LAB-2408</t>
  </si>
  <si>
    <t>24/06/2021</t>
  </si>
  <si>
    <t>LAB-2409</t>
  </si>
  <si>
    <t>2022-11-29</t>
  </si>
  <si>
    <t>LAB-2410</t>
  </si>
  <si>
    <t>2021-03-21</t>
  </si>
  <si>
    <t>LAB-2411</t>
  </si>
  <si>
    <t>11-10-2021</t>
  </si>
  <si>
    <t>LAB-2412</t>
  </si>
  <si>
    <t>07-Sep-2022</t>
  </si>
  <si>
    <t>LAB-2413</t>
  </si>
  <si>
    <t>LAB-2414</t>
  </si>
  <si>
    <t>11/09/2021</t>
  </si>
  <si>
    <t>LAB-2415</t>
  </si>
  <si>
    <t>13.06.2021</t>
  </si>
  <si>
    <t>LAB-2416</t>
  </si>
  <si>
    <t>LAB-2417</t>
  </si>
  <si>
    <t>LAB-2418</t>
  </si>
  <si>
    <t>08-19-2023</t>
  </si>
  <si>
    <t>LAB-2419</t>
  </si>
  <si>
    <t>2022-05-23</t>
  </si>
  <si>
    <t>LAB-2420</t>
  </si>
  <si>
    <t>24.03.2022</t>
  </si>
  <si>
    <t>Aarav Suzuki</t>
  </si>
  <si>
    <t>Jose Williams</t>
  </si>
  <si>
    <t>Verma Reyansh</t>
  </si>
  <si>
    <t>Barbara Ibrahim</t>
  </si>
  <si>
    <t>Linda Davis</t>
  </si>
  <si>
    <t>Wilson Ming</t>
  </si>
  <si>
    <t>Zhang Aditya</t>
  </si>
  <si>
    <t>David Hernandez</t>
  </si>
  <si>
    <t>Jose Miller</t>
  </si>
  <si>
    <t>Barbara Verma</t>
  </si>
  <si>
    <t>Patricia Kumar</t>
  </si>
  <si>
    <t>Layla Reddy</t>
  </si>
  <si>
    <t>Sofia Ibrahim</t>
  </si>
  <si>
    <t>Iyer Diego</t>
  </si>
  <si>
    <t>Ming Torres</t>
  </si>
  <si>
    <t>Suzuki Sara</t>
  </si>
  <si>
    <t>Sharma Camila</t>
  </si>
  <si>
    <t>Krishna Rodriguez</t>
  </si>
  <si>
    <t>Diego Miller</t>
  </si>
  <si>
    <t>Krishna Gonzalez</t>
  </si>
  <si>
    <t>Barbara Wilson</t>
  </si>
  <si>
    <t>John Williams</t>
  </si>
  <si>
    <t>Flores John</t>
  </si>
  <si>
    <t>Mary Hernandez</t>
  </si>
  <si>
    <t>Michael Hussain</t>
  </si>
  <si>
    <t>Maria Jones</t>
  </si>
  <si>
    <t>Jose Ibrahim</t>
  </si>
  <si>
    <t>Li Anderson</t>
  </si>
  <si>
    <t>Davis Reyansh</t>
  </si>
  <si>
    <t>Vivaan Anderson</t>
  </si>
  <si>
    <t>Layla Smith</t>
  </si>
  <si>
    <t>Reyansh Garcia</t>
  </si>
  <si>
    <t>Li Verma</t>
  </si>
  <si>
    <t>Noor Zhang</t>
  </si>
  <si>
    <t>Sofia Nair</t>
  </si>
  <si>
    <t>Camila Tanaka</t>
  </si>
  <si>
    <t>Gonzalez Li</t>
  </si>
  <si>
    <t>Sai Reddy</t>
  </si>
  <si>
    <t>Robert Wang</t>
  </si>
  <si>
    <t>Ayaan Reddy</t>
  </si>
  <si>
    <t>Davis Fatima</t>
  </si>
  <si>
    <t>Chen Robert</t>
  </si>
  <si>
    <t>Omar Anderson</t>
  </si>
  <si>
    <t>Omar Rodriguez</t>
  </si>
  <si>
    <t>Gupta Omar</t>
  </si>
  <si>
    <t>Gonzalez Arjun</t>
  </si>
  <si>
    <t>Riya Hernandez</t>
  </si>
  <si>
    <t>Li Nair</t>
  </si>
  <si>
    <t>James Suzuki</t>
  </si>
  <si>
    <t>David Nair</t>
  </si>
  <si>
    <t>Ananya Mehta</t>
  </si>
  <si>
    <t>Lopez Wei</t>
  </si>
  <si>
    <t>Myra Martinez</t>
  </si>
  <si>
    <t>Camila Ibrahim</t>
  </si>
  <si>
    <t>Diya Miller</t>
  </si>
  <si>
    <t>Noor Perez</t>
  </si>
  <si>
    <t>Mary Gonzalez</t>
  </si>
  <si>
    <t>Sara Johnson</t>
  </si>
  <si>
    <t>Krishna Miller</t>
  </si>
  <si>
    <t>Sai Kumar</t>
  </si>
  <si>
    <t>Juan Smith</t>
  </si>
  <si>
    <t>Omar Flores</t>
  </si>
  <si>
    <t>Sara Patel</t>
  </si>
  <si>
    <t>Davis Vivaan</t>
  </si>
  <si>
    <t>Pari Brown</t>
  </si>
  <si>
    <t>Ahmed Kumar</t>
  </si>
  <si>
    <t>Arjun Wang</t>
  </si>
  <si>
    <t>Ayaan Hernandez</t>
  </si>
  <si>
    <t>Lopez John</t>
  </si>
  <si>
    <t>Saanvi Jones</t>
  </si>
  <si>
    <t>Nair Valentina</t>
  </si>
  <si>
    <t>Layla Martinez</t>
  </si>
  <si>
    <t>Hiroshi Smith</t>
  </si>
  <si>
    <t>Ahmed Chen</t>
  </si>
  <si>
    <t>Linda Lopez</t>
  </si>
  <si>
    <t>Noor Mehta</t>
  </si>
  <si>
    <t>Liu Mary</t>
  </si>
  <si>
    <t>Valentina Singh</t>
  </si>
  <si>
    <t>Diego Sanchez</t>
  </si>
  <si>
    <t>Sara Rodriguez</t>
  </si>
  <si>
    <t>Yuki Verma</t>
  </si>
  <si>
    <t>Myra Miller</t>
  </si>
  <si>
    <t>Mehta Carlos</t>
  </si>
  <si>
    <t>Myra Torres</t>
  </si>
  <si>
    <t>Vivaan Tanaka</t>
  </si>
  <si>
    <t>Patel Ayaan</t>
  </si>
  <si>
    <t>Chen Li</t>
  </si>
  <si>
    <t>Mary Zhang</t>
  </si>
  <si>
    <t>Diya Wang</t>
  </si>
  <si>
    <t>Flores Ananya</t>
  </si>
  <si>
    <t>Reyansh Rodriguez</t>
  </si>
  <si>
    <t>Noor Torres</t>
  </si>
  <si>
    <t>Anderson Krishna</t>
  </si>
  <si>
    <t>Zhang Noor</t>
  </si>
  <si>
    <t>Layla Jones</t>
  </si>
  <si>
    <t>Wilson Robert</t>
  </si>
  <si>
    <t>Ananya Miller</t>
  </si>
  <si>
    <t>Wei Ramirez</t>
  </si>
  <si>
    <t>Saanvi Rodriguez</t>
  </si>
  <si>
    <t>Maria Wang</t>
  </si>
  <si>
    <t>Noor Chen</t>
  </si>
  <si>
    <t>Myra Ramirez</t>
  </si>
  <si>
    <t>Reddy Saanvi</t>
  </si>
  <si>
    <t>Maria Anderson</t>
  </si>
  <si>
    <t>Sofia Johnson</t>
  </si>
  <si>
    <t>Vivaan Hernandez</t>
  </si>
  <si>
    <t>Martinez Sara</t>
  </si>
  <si>
    <t>Sara Sharma</t>
  </si>
  <si>
    <t>Mary Davis</t>
  </si>
  <si>
    <t>Saanvi Patel</t>
  </si>
  <si>
    <t>Carlos Chen</t>
  </si>
  <si>
    <t>Jose Hussain</t>
  </si>
  <si>
    <t>Hernandez Ana</t>
  </si>
  <si>
    <t>Diya Nair</t>
  </si>
  <si>
    <t>Ab-</t>
  </si>
  <si>
    <t>Ab+</t>
  </si>
  <si>
    <t>Invalid</t>
  </si>
  <si>
    <t>BMII</t>
  </si>
  <si>
    <t>Child</t>
  </si>
  <si>
    <t>Obese</t>
  </si>
  <si>
    <t>Adult</t>
  </si>
  <si>
    <t>Underweight</t>
  </si>
  <si>
    <t>Senior</t>
  </si>
  <si>
    <t>Overweight</t>
  </si>
  <si>
    <t>Young Adult</t>
  </si>
  <si>
    <t>Bill_Amount2</t>
  </si>
  <si>
    <t>Column1</t>
  </si>
  <si>
    <t>Year</t>
  </si>
  <si>
    <t>Bill_Amount rank</t>
  </si>
  <si>
    <t>Doctor_refrnece</t>
  </si>
  <si>
    <t>Orpahn_check</t>
  </si>
  <si>
    <t>Row Labels</t>
  </si>
  <si>
    <t>Grand Total</t>
  </si>
  <si>
    <t>Count of Gender</t>
  </si>
  <si>
    <t>Ent</t>
  </si>
  <si>
    <t>2021</t>
  </si>
  <si>
    <t>2022</t>
  </si>
  <si>
    <t>2023</t>
  </si>
  <si>
    <t>Age_Group</t>
  </si>
  <si>
    <t>Count of Patient_ID2</t>
  </si>
  <si>
    <t>%INSURED</t>
  </si>
  <si>
    <t>Jan</t>
  </si>
  <si>
    <t>Feb</t>
  </si>
  <si>
    <t>Mar</t>
  </si>
  <si>
    <t>Apr</t>
  </si>
  <si>
    <t>May</t>
  </si>
  <si>
    <t>Jun</t>
  </si>
  <si>
    <t>Jul</t>
  </si>
  <si>
    <t>Aug</t>
  </si>
  <si>
    <t>Sep</t>
  </si>
  <si>
    <t>Oct</t>
  </si>
  <si>
    <t>Nov</t>
  </si>
  <si>
    <t>Dec</t>
  </si>
  <si>
    <t>SUM OF BILL</t>
  </si>
  <si>
    <t xml:space="preserve">                           Department-wise Monthly Billing Heatmap</t>
  </si>
  <si>
    <t>TOTAL BILLING</t>
  </si>
  <si>
    <t>AVERAGE AGE</t>
  </si>
  <si>
    <t>TOTAL PATIENTS</t>
  </si>
  <si>
    <t>Average of Bill_Amount</t>
  </si>
  <si>
    <t>Sum of Bill_Amount</t>
  </si>
  <si>
    <t xml:space="preserve">             TOP5 COSTLIEST PATIENTS</t>
  </si>
  <si>
    <t xml:space="preserve">   Diagnosis</t>
  </si>
  <si>
    <t>Age Group</t>
  </si>
  <si>
    <t>Percent of Patient_ID</t>
  </si>
  <si>
    <t xml:space="preserve">         HOSPITAL ANALYTICS RECORD</t>
  </si>
  <si>
    <t xml:space="preserve">            Top 5 Costliest Patients</t>
  </si>
  <si>
    <t xml:space="preserve">   PATIENTS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</si>
</sst>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
    <numFmt numFmtId="165" formatCode="mmmm"/>
    <numFmt numFmtId="166" formatCode="[$₹-439]#,##0.00"/>
  </numFmts>
  <fonts count="18" x14ac:knownFonts="1">
    <font>
      <sz val="11"/>
      <color theme="1"/>
      <name val="Calibri"/>
      <family val="2"/>
      <scheme val="minor"/>
    </font>
    <font>
      <b/>
      <sz val="11"/>
      <name val="Calibri"/>
      <family val="2"/>
    </font>
    <font>
      <b/>
      <sz val="11"/>
      <name val="Calibri"/>
      <family val="2"/>
    </font>
    <font>
      <b/>
      <sz val="11"/>
      <color theme="3"/>
      <name val="Calibri"/>
      <family val="2"/>
      <scheme val="minor"/>
    </font>
    <font>
      <b/>
      <sz val="11"/>
      <color theme="1"/>
      <name val="Calibri"/>
      <family val="2"/>
      <scheme val="minor"/>
    </font>
    <font>
      <b/>
      <sz val="11"/>
      <color theme="0" tint="-0.14999847407452621"/>
      <name val="Calibri"/>
      <family val="2"/>
      <scheme val="minor"/>
    </font>
    <font>
      <b/>
      <sz val="22"/>
      <color theme="3"/>
      <name val="Calibri"/>
      <family val="2"/>
      <scheme val="minor"/>
    </font>
    <font>
      <sz val="10"/>
      <color theme="1"/>
      <name val="Calibri"/>
      <family val="2"/>
      <scheme val="minor"/>
    </font>
    <font>
      <sz val="12"/>
      <color theme="1"/>
      <name val="Calibri"/>
      <family val="2"/>
      <scheme val="minor"/>
    </font>
    <font>
      <sz val="10"/>
      <color rgb="FF002060"/>
      <name val="Calibri"/>
      <family val="2"/>
      <scheme val="minor"/>
    </font>
    <font>
      <sz val="11"/>
      <color rgb="FF002060"/>
      <name val="Calibri"/>
      <family val="2"/>
      <scheme val="minor"/>
    </font>
    <font>
      <sz val="28"/>
      <color theme="0" tint="-4.9989318521683403E-2"/>
      <name val="Calibri"/>
      <family val="2"/>
      <scheme val="minor"/>
    </font>
    <font>
      <sz val="11"/>
      <name val="Calibri"/>
      <family val="2"/>
      <scheme val="minor"/>
    </font>
    <font>
      <b/>
      <sz val="10"/>
      <color theme="1"/>
      <name val="Calibri"/>
      <family val="2"/>
      <scheme val="minor"/>
    </font>
    <font>
      <sz val="12"/>
      <color theme="1" tint="0.14999847407452621"/>
      <name val="Calibri"/>
      <family val="2"/>
      <scheme val="minor"/>
    </font>
    <font>
      <b/>
      <sz val="12"/>
      <color theme="0" tint="-0.14999847407452621"/>
      <name val="Calibri"/>
      <family val="2"/>
      <scheme val="minor"/>
    </font>
    <font>
      <sz val="10"/>
      <color theme="1" tint="0.14999847407452621"/>
      <name val="Calibri"/>
      <family val="2"/>
      <scheme val="minor"/>
    </font>
    <font>
      <b/>
      <sz val="10"/>
      <color theme="1" tint="0.1499984740745262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0" tint="-0.14999847407452621"/>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3" tint="-0.499984740745262"/>
        <bgColor indexed="64"/>
      </patternFill>
    </fill>
  </fills>
  <borders count="5">
    <border>
      <left/>
      <right/>
      <top/>
      <bottom/>
      <diagonal/>
    </border>
    <border>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1">
    <xf numFmtId="0" fontId="0" fillId="0" borderId="0" xfId="0"/>
    <xf numFmtId="0" fontId="1" fillId="0" borderId="0" xfId="0" applyFont="1"/>
    <xf numFmtId="0" fontId="0" fillId="0" borderId="0" xfId="0" applyNumberFormat="1"/>
    <xf numFmtId="14" fontId="0" fillId="0" borderId="0" xfId="0" applyNumberFormat="1"/>
    <xf numFmtId="164" fontId="0" fillId="0" borderId="0" xfId="0" applyNumberFormat="1"/>
    <xf numFmtId="165"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10" fontId="0" fillId="0" borderId="0" xfId="0" applyNumberFormat="1"/>
    <xf numFmtId="14" fontId="0" fillId="0" borderId="0" xfId="0" applyNumberFormat="1" applyAlignment="1">
      <alignment horizontal="center"/>
    </xf>
    <xf numFmtId="14" fontId="4" fillId="3" borderId="1" xfId="0" applyNumberFormat="1" applyFont="1" applyFill="1" applyBorder="1" applyAlignment="1">
      <alignment horizontal="center"/>
    </xf>
    <xf numFmtId="0" fontId="4" fillId="3" borderId="1" xfId="0" applyFont="1" applyFill="1" applyBorder="1"/>
    <xf numFmtId="0" fontId="0" fillId="2" borderId="0" xfId="0" applyFont="1" applyFill="1" applyAlignment="1">
      <alignment horizontal="left"/>
    </xf>
    <xf numFmtId="0" fontId="3" fillId="2" borderId="0" xfId="0" applyFont="1" applyFill="1" applyAlignment="1"/>
    <xf numFmtId="0" fontId="6" fillId="2" borderId="0" xfId="0" applyFont="1" applyFill="1" applyAlignment="1"/>
    <xf numFmtId="0" fontId="0" fillId="2" borderId="0" xfId="0" applyNumberFormat="1" applyFill="1" applyAlignment="1">
      <alignment horizontal="center"/>
    </xf>
    <xf numFmtId="0" fontId="5" fillId="2" borderId="0" xfId="0" applyFont="1" applyFill="1" applyAlignment="1"/>
    <xf numFmtId="0" fontId="0" fillId="6" borderId="0" xfId="0" applyNumberFormat="1" applyFill="1" applyAlignment="1">
      <alignment horizontal="center"/>
    </xf>
    <xf numFmtId="0" fontId="12" fillId="5" borderId="0" xfId="0" applyFont="1" applyFill="1" applyAlignment="1">
      <alignment horizontal="left"/>
    </xf>
    <xf numFmtId="0" fontId="12" fillId="5" borderId="0" xfId="0" applyFont="1" applyFill="1"/>
    <xf numFmtId="0" fontId="9" fillId="7" borderId="0" xfId="0" applyFont="1" applyFill="1"/>
    <xf numFmtId="0" fontId="10" fillId="7" borderId="0" xfId="0" applyFont="1" applyFill="1"/>
    <xf numFmtId="0" fontId="11" fillId="7" borderId="0" xfId="0" applyFont="1" applyFill="1"/>
    <xf numFmtId="0" fontId="15" fillId="7" borderId="4" xfId="0" applyFont="1" applyFill="1" applyBorder="1" applyAlignment="1">
      <alignment horizontal="left"/>
    </xf>
    <xf numFmtId="0" fontId="7" fillId="5" borderId="0" xfId="0" applyFont="1" applyFill="1"/>
    <xf numFmtId="0" fontId="0" fillId="5" borderId="0" xfId="0" applyFill="1"/>
    <xf numFmtId="0" fontId="13"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7" fillId="4" borderId="2" xfId="0" applyFont="1" applyFill="1" applyBorder="1" applyAlignment="1">
      <alignment horizontal="center" vertical="center"/>
    </xf>
    <xf numFmtId="2" fontId="16" fillId="4" borderId="3" xfId="0" applyNumberFormat="1" applyFont="1" applyFill="1" applyBorder="1" applyAlignment="1">
      <alignment horizontal="center" vertical="center"/>
    </xf>
    <xf numFmtId="0" fontId="13" fillId="4" borderId="2" xfId="0" applyNumberFormat="1" applyFont="1" applyFill="1" applyBorder="1" applyAlignment="1">
      <alignment horizontal="center" vertical="center"/>
    </xf>
    <xf numFmtId="166" fontId="16" fillId="4" borderId="3" xfId="0" applyNumberFormat="1" applyFont="1" applyFill="1" applyBorder="1" applyAlignment="1">
      <alignment horizontal="center" vertical="center"/>
    </xf>
    <xf numFmtId="10" fontId="16" fillId="4" borderId="3" xfId="0" applyNumberFormat="1" applyFont="1" applyFill="1" applyBorder="1" applyAlignment="1">
      <alignment horizontal="center" vertical="center"/>
    </xf>
    <xf numFmtId="0" fontId="7" fillId="4" borderId="0" xfId="0" applyFont="1" applyFill="1" applyAlignment="1">
      <alignment horizontal="center"/>
    </xf>
    <xf numFmtId="0" fontId="14" fillId="4" borderId="0" xfId="0" applyFont="1" applyFill="1" applyAlignment="1">
      <alignment horizontal="left" indent="1"/>
    </xf>
    <xf numFmtId="166" fontId="8" fillId="4" borderId="0" xfId="0" applyNumberFormat="1" applyFont="1" applyFill="1" applyAlignment="1">
      <alignment horizontal="center"/>
    </xf>
    <xf numFmtId="0" fontId="7" fillId="4" borderId="0" xfId="0" applyFont="1" applyFill="1" applyAlignment="1">
      <alignment horizontal="left" vertical="center"/>
    </xf>
  </cellXfs>
  <cellStyles count="1">
    <cellStyle name="Normal" xfId="0" builtinId="0"/>
  </cellStyles>
  <dxfs count="376">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66" formatCode="[$₹-439]#,##0.00"/>
    </dxf>
    <dxf>
      <font>
        <sz val="11"/>
      </font>
    </dxf>
    <dxf>
      <font>
        <sz val="10"/>
      </font>
    </dxf>
    <dxf>
      <font>
        <sz val="11"/>
      </font>
    </dxf>
    <dxf>
      <font>
        <sz val="11"/>
      </font>
    </dxf>
    <dxf>
      <font>
        <sz val="10"/>
      </font>
    </dxf>
    <dxf>
      <font>
        <sz val="10"/>
      </font>
    </dxf>
    <dxf>
      <alignment horizontal="center" indent="0" readingOrder="0"/>
    </dxf>
    <dxf>
      <font>
        <color theme="1"/>
      </font>
    </dxf>
    <dxf>
      <fill>
        <patternFill>
          <bgColor theme="1" tint="0.499984740745262"/>
        </patternFill>
      </fill>
    </dxf>
    <dxf>
      <fill>
        <patternFill>
          <bgColor theme="0"/>
        </patternFill>
      </fill>
    </dxf>
    <dxf>
      <font>
        <color theme="1" tint="0.14999847407452621"/>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vertical="center" readingOrder="0"/>
    </dxf>
    <dxf>
      <alignment vertical="bottom" readingOrder="0"/>
    </dxf>
    <dxf>
      <alignment vertical="top" readingOrder="0"/>
    </dxf>
    <dxf>
      <alignment vertical="center" readingOrder="0"/>
    </dxf>
    <dxf>
      <alignment horizontal="center" readingOrder="0"/>
    </dxf>
    <dxf>
      <alignment horizontal="left" readingOrder="0"/>
    </dxf>
    <dxf>
      <alignment horizontal="left" readingOrder="0"/>
    </dxf>
    <dxf>
      <alignment horizontal="center" readingOrder="0"/>
    </dxf>
    <dxf>
      <alignment vertical="center" readingOrder="0"/>
    </dxf>
    <dxf>
      <alignment vertical="top" readingOrder="0"/>
    </dxf>
    <dxf>
      <alignment vertical="bottom" readingOrder="0"/>
    </dxf>
    <dxf>
      <alignment vertical="center" readingOrder="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ont>
        <color theme="1" tint="0.14999847407452621"/>
      </font>
    </dxf>
    <dxf>
      <fill>
        <patternFill>
          <bgColor theme="0"/>
        </patternFill>
      </fill>
    </dxf>
    <dxf>
      <fill>
        <patternFill>
          <bgColor theme="1" tint="0.499984740745262"/>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66" formatCode="[$₹-439]#,##0.00"/>
    </dxf>
    <dxf>
      <font>
        <sz val="11"/>
      </font>
    </dxf>
    <dxf>
      <font>
        <sz val="10"/>
      </font>
    </dxf>
    <dxf>
      <font>
        <sz val="11"/>
      </font>
    </dxf>
    <dxf>
      <font>
        <sz val="11"/>
      </font>
    </dxf>
    <dxf>
      <font>
        <sz val="10"/>
      </font>
    </dxf>
    <dxf>
      <font>
        <sz val="10"/>
      </font>
    </dxf>
    <dxf>
      <alignment horizontal="center" indent="0" readingOrder="0"/>
    </dxf>
    <dxf>
      <font>
        <color theme="1"/>
      </font>
    </dxf>
    <dxf>
      <font>
        <color theme="1"/>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alignment horizontal="center" readingOrder="0"/>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ont>
        <color rgb="FFFFFF00"/>
      </font>
    </dxf>
    <dxf>
      <font>
        <color rgb="FFFFFF00"/>
      </font>
    </dxf>
    <dxf>
      <font>
        <color rgb="FFFFFF00"/>
      </font>
    </dxf>
    <dxf>
      <font>
        <color theme="0"/>
      </font>
    </dxf>
    <dxf>
      <font>
        <color theme="0"/>
      </font>
    </dxf>
    <dxf>
      <font>
        <color theme="0"/>
      </font>
    </dxf>
    <dxf>
      <font>
        <b/>
      </font>
    </dxf>
    <dxf>
      <font>
        <b/>
      </font>
    </dxf>
    <dxf>
      <font>
        <b/>
      </font>
    </dxf>
    <dxf>
      <font>
        <color theme="0"/>
      </font>
    </dxf>
    <dxf>
      <fill>
        <patternFill>
          <bgColor theme="0" tint="-0.499984740745262"/>
        </patternFill>
      </fill>
    </dxf>
    <dxf>
      <fill>
        <patternFill>
          <bgColor theme="0" tint="-0.34998626667073579"/>
        </patternFill>
      </fill>
    </dxf>
    <dxf>
      <font>
        <color theme="1"/>
      </font>
    </dxf>
    <dxf>
      <font>
        <sz val="8"/>
      </font>
    </dxf>
    <dxf>
      <font>
        <sz val="8"/>
      </font>
    </dxf>
    <dxf>
      <font>
        <sz val="8"/>
      </font>
    </dxf>
    <dxf>
      <fill>
        <patternFill>
          <bgColor theme="0" tint="-0.14999847407452621"/>
        </patternFill>
      </fill>
    </dxf>
    <dxf>
      <fill>
        <patternFill>
          <bgColor theme="0" tint="-0.14999847407452621"/>
        </patternFill>
      </fill>
    </dxf>
    <dxf>
      <fill>
        <patternFill>
          <bgColor theme="0" tint="-0.14999847407452621"/>
        </patternFill>
      </fill>
    </dxf>
    <dxf>
      <font>
        <color theme="1"/>
      </font>
    </dxf>
    <dxf>
      <font>
        <color theme="1"/>
      </font>
    </dxf>
    <dxf>
      <font>
        <color theme="1"/>
      </font>
    </dxf>
    <dxf>
      <alignment horizontal="right" readingOrder="0"/>
    </dxf>
    <dxf>
      <alignment horizontal="general" readingOrder="0"/>
    </dxf>
    <dxf>
      <alignment horizontal="left" relativeIndent="1" readingOrder="0"/>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9"/>
      </font>
    </dxf>
    <dxf>
      <font>
        <sz val="9"/>
      </font>
    </dxf>
    <dxf>
      <font>
        <sz val="9"/>
      </font>
    </dxf>
    <dxf>
      <font>
        <b val="0"/>
      </font>
    </dxf>
    <dxf>
      <font>
        <b val="0"/>
      </font>
    </dxf>
    <dxf>
      <font>
        <b val="0"/>
      </font>
    </dxf>
    <dxf>
      <font>
        <b/>
      </font>
    </dxf>
    <dxf>
      <font>
        <b/>
      </font>
    </dxf>
    <dxf>
      <font>
        <b/>
      </font>
    </dxf>
    <dxf>
      <font>
        <b val="0"/>
      </font>
    </dxf>
    <dxf>
      <font>
        <b val="0"/>
      </font>
    </dxf>
    <dxf>
      <font>
        <b val="0"/>
      </font>
    </dxf>
    <dxf>
      <font>
        <b/>
      </font>
    </dxf>
    <dxf>
      <font>
        <b/>
      </font>
    </dxf>
    <dxf>
      <font>
        <b/>
      </font>
    </dxf>
    <dxf>
      <font>
        <i/>
      </font>
    </dxf>
    <dxf>
      <font>
        <i/>
      </font>
    </dxf>
    <dxf>
      <font>
        <i/>
      </font>
    </dxf>
    <dxf>
      <font>
        <i val="0"/>
      </font>
    </dxf>
    <dxf>
      <font>
        <i val="0"/>
      </font>
    </dxf>
    <dxf>
      <font>
        <i val="0"/>
      </font>
    </dxf>
    <dxf>
      <font>
        <b val="0"/>
      </font>
    </dxf>
    <dxf>
      <font>
        <b val="0"/>
      </font>
    </dxf>
    <dxf>
      <font>
        <b val="0"/>
      </font>
    </dxf>
    <dxf>
      <font>
        <sz val="10"/>
      </font>
    </dxf>
    <dxf>
      <font>
        <sz val="10"/>
      </font>
    </dxf>
    <dxf>
      <font>
        <sz val="10"/>
      </font>
    </dxf>
    <dxf>
      <font>
        <color theme="1" tint="0.49998474074526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numFmt numFmtId="2" formatCode="0.00"/>
    </dxf>
    <dxf>
      <numFmt numFmtId="166" formatCode="[$₹-439]#,##0.00"/>
    </dxf>
    <dxf>
      <font>
        <sz val="11"/>
      </font>
    </dxf>
    <dxf>
      <font>
        <sz val="10"/>
      </font>
    </dxf>
    <dxf>
      <font>
        <sz val="11"/>
      </font>
    </dxf>
    <dxf>
      <font>
        <sz val="11"/>
      </font>
    </dxf>
    <dxf>
      <font>
        <sz val="10"/>
      </font>
    </dxf>
    <dxf>
      <font>
        <sz val="10"/>
      </font>
    </dxf>
    <dxf>
      <alignment horizontal="center" indent="0" readingOrder="0"/>
    </dxf>
    <dxf>
      <numFmt numFmtId="0" formatCode="General"/>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numFmt numFmtId="0" formatCode="General"/>
    </dxf>
    <dxf>
      <numFmt numFmtId="0" formatCode="General"/>
    </dxf>
    <dxf>
      <numFmt numFmtId="165" formatCode="mmmm"/>
    </dxf>
    <dxf>
      <numFmt numFmtId="164" formatCode="yyyy"/>
    </dxf>
  </dxfs>
  <tableStyles count="0" defaultTableStyle="TableStyleMedium9" defaultPivotStyle="PivotStyleLight16"/>
  <colors>
    <mruColors>
      <color rgb="FF393173"/>
      <color rgb="FF2E2EB8"/>
      <color rgb="FF11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[Hospital_Data_Analysis_Dashboard.xlsx]Pivot_Tables!PivotTable6</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Pivot_Tables!$P$20:$P$22</c:f>
              <c:strCache>
                <c:ptCount val="1"/>
                <c:pt idx="0">
                  <c:v>2021</c:v>
                </c:pt>
              </c:strCache>
            </c:strRef>
          </c:tx>
          <c:spPr>
            <a:solidFill>
              <a:schemeClr val="accent1"/>
            </a:solidFill>
            <a:ln>
              <a:noFill/>
            </a:ln>
            <a:effectLst/>
          </c:spPr>
          <c:invertIfNegative val="0"/>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Pivot_Tables!$P$23:$P$39</c:f>
              <c:numCache>
                <c:formatCode>General</c:formatCode>
                <c:ptCount val="16"/>
                <c:pt idx="0">
                  <c:v>248928.03000000003</c:v>
                </c:pt>
                <c:pt idx="1">
                  <c:v>556584.15</c:v>
                </c:pt>
                <c:pt idx="2">
                  <c:v>444337.32000000007</c:v>
                </c:pt>
                <c:pt idx="3">
                  <c:v>168365.92</c:v>
                </c:pt>
                <c:pt idx="4">
                  <c:v>430625.30999999994</c:v>
                </c:pt>
                <c:pt idx="5">
                  <c:v>269080.27</c:v>
                </c:pt>
                <c:pt idx="6">
                  <c:v>341992.61000000004</c:v>
                </c:pt>
                <c:pt idx="7">
                  <c:v>90775.26</c:v>
                </c:pt>
                <c:pt idx="8">
                  <c:v>239999.88999999998</c:v>
                </c:pt>
                <c:pt idx="9">
                  <c:v>222910.2</c:v>
                </c:pt>
                <c:pt idx="10">
                  <c:v>96411.049999999988</c:v>
                </c:pt>
                <c:pt idx="11">
                  <c:v>574019.56000000006</c:v>
                </c:pt>
                <c:pt idx="12">
                  <c:v>100971.09000000001</c:v>
                </c:pt>
                <c:pt idx="13">
                  <c:v>329284.01000000007</c:v>
                </c:pt>
                <c:pt idx="14">
                  <c:v>213319.56999999998</c:v>
                </c:pt>
                <c:pt idx="15">
                  <c:v>134577.07000000004</c:v>
                </c:pt>
              </c:numCache>
            </c:numRef>
          </c:val>
          <c:extLst>
            <c:ext xmlns:c16="http://schemas.microsoft.com/office/drawing/2014/chart" uri="{C3380CC4-5D6E-409C-BE32-E72D297353CC}">
              <c16:uniqueId val="{00000000-CF95-4E8B-8879-A9E5956CA24A}"/>
            </c:ext>
          </c:extLst>
        </c:ser>
        <c:ser>
          <c:idx val="1"/>
          <c:order val="1"/>
          <c:tx>
            <c:strRef>
              <c:f>Pivot_Tables!$Q$20:$Q$22</c:f>
              <c:strCache>
                <c:ptCount val="1"/>
                <c:pt idx="0">
                  <c:v>2022</c:v>
                </c:pt>
              </c:strCache>
            </c:strRef>
          </c:tx>
          <c:spPr>
            <a:solidFill>
              <a:schemeClr val="accent2"/>
            </a:solidFill>
            <a:ln>
              <a:noFill/>
            </a:ln>
            <a:effectLst/>
          </c:spPr>
          <c:invertIfNegative val="0"/>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Pivot_Tables!$Q$23:$Q$39</c:f>
              <c:numCache>
                <c:formatCode>General</c:formatCode>
                <c:ptCount val="16"/>
                <c:pt idx="0">
                  <c:v>296067.32</c:v>
                </c:pt>
                <c:pt idx="1">
                  <c:v>459203.52000000008</c:v>
                </c:pt>
                <c:pt idx="2">
                  <c:v>315562.89000000007</c:v>
                </c:pt>
                <c:pt idx="3">
                  <c:v>118539.9</c:v>
                </c:pt>
                <c:pt idx="4">
                  <c:v>353052.52</c:v>
                </c:pt>
                <c:pt idx="5">
                  <c:v>182328.81</c:v>
                </c:pt>
                <c:pt idx="6">
                  <c:v>329343.56</c:v>
                </c:pt>
                <c:pt idx="7">
                  <c:v>381527.74</c:v>
                </c:pt>
                <c:pt idx="8">
                  <c:v>157525.81</c:v>
                </c:pt>
                <c:pt idx="9">
                  <c:v>113135.44</c:v>
                </c:pt>
                <c:pt idx="10">
                  <c:v>17514.28</c:v>
                </c:pt>
                <c:pt idx="11">
                  <c:v>465587.87999999989</c:v>
                </c:pt>
                <c:pt idx="12">
                  <c:v>310062.06</c:v>
                </c:pt>
                <c:pt idx="13">
                  <c:v>366201.76</c:v>
                </c:pt>
                <c:pt idx="14">
                  <c:v>42009.09</c:v>
                </c:pt>
                <c:pt idx="15">
                  <c:v>111635.45999999999</c:v>
                </c:pt>
              </c:numCache>
            </c:numRef>
          </c:val>
          <c:extLst>
            <c:ext xmlns:c16="http://schemas.microsoft.com/office/drawing/2014/chart" uri="{C3380CC4-5D6E-409C-BE32-E72D297353CC}">
              <c16:uniqueId val="{00000001-CF95-4E8B-8879-A9E5956CA24A}"/>
            </c:ext>
          </c:extLst>
        </c:ser>
        <c:ser>
          <c:idx val="2"/>
          <c:order val="2"/>
          <c:tx>
            <c:strRef>
              <c:f>Pivot_Tables!$R$20:$R$22</c:f>
              <c:strCache>
                <c:ptCount val="1"/>
                <c:pt idx="0">
                  <c:v>2023</c:v>
                </c:pt>
              </c:strCache>
            </c:strRef>
          </c:tx>
          <c:spPr>
            <a:solidFill>
              <a:schemeClr val="accent3"/>
            </a:solidFill>
            <a:ln>
              <a:noFill/>
            </a:ln>
            <a:effectLst/>
          </c:spPr>
          <c:invertIfNegative val="0"/>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Pivot_Tables!$R$23:$R$39</c:f>
              <c:numCache>
                <c:formatCode>General</c:formatCode>
                <c:ptCount val="16"/>
                <c:pt idx="0">
                  <c:v>221841.62</c:v>
                </c:pt>
                <c:pt idx="1">
                  <c:v>520636</c:v>
                </c:pt>
                <c:pt idx="2">
                  <c:v>508550.44999999995</c:v>
                </c:pt>
                <c:pt idx="3">
                  <c:v>144543.16</c:v>
                </c:pt>
                <c:pt idx="4">
                  <c:v>507386.18</c:v>
                </c:pt>
                <c:pt idx="5">
                  <c:v>186734.94</c:v>
                </c:pt>
                <c:pt idx="6">
                  <c:v>284463.71999999997</c:v>
                </c:pt>
                <c:pt idx="7">
                  <c:v>101766.38</c:v>
                </c:pt>
                <c:pt idx="8">
                  <c:v>98004.03</c:v>
                </c:pt>
                <c:pt idx="9">
                  <c:v>110130.16</c:v>
                </c:pt>
                <c:pt idx="10">
                  <c:v>130209.15000000001</c:v>
                </c:pt>
                <c:pt idx="11">
                  <c:v>664351.42000000004</c:v>
                </c:pt>
                <c:pt idx="12">
                  <c:v>140186.94</c:v>
                </c:pt>
                <c:pt idx="13">
                  <c:v>568323.56999999995</c:v>
                </c:pt>
                <c:pt idx="14">
                  <c:v>143944.31</c:v>
                </c:pt>
                <c:pt idx="15">
                  <c:v>210418.39000000004</c:v>
                </c:pt>
              </c:numCache>
            </c:numRef>
          </c:val>
          <c:extLst>
            <c:ext xmlns:c16="http://schemas.microsoft.com/office/drawing/2014/chart" uri="{C3380CC4-5D6E-409C-BE32-E72D297353CC}">
              <c16:uniqueId val="{00000002-CF95-4E8B-8879-A9E5956CA24A}"/>
            </c:ext>
          </c:extLst>
        </c:ser>
        <c:dLbls>
          <c:showLegendKey val="0"/>
          <c:showVal val="0"/>
          <c:showCatName val="0"/>
          <c:showSerName val="0"/>
          <c:showPercent val="0"/>
          <c:showBubbleSize val="0"/>
        </c:dLbls>
        <c:gapWidth val="219"/>
        <c:overlap val="-27"/>
        <c:axId val="2043132511"/>
        <c:axId val="2043143743"/>
      </c:barChart>
      <c:catAx>
        <c:axId val="204313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43743"/>
        <c:crosses val="autoZero"/>
        <c:auto val="1"/>
        <c:lblAlgn val="ctr"/>
        <c:lblOffset val="100"/>
        <c:noMultiLvlLbl val="0"/>
      </c:catAx>
      <c:valAx>
        <c:axId val="204314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3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[Hospital_Data_Analysis_Dashboard.xlsx]Pivot_Tables!PivotTable4</c:name>
    <c:fmtId val="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                 Patients by Department &amp; Gender     </a:t>
            </a:r>
          </a:p>
        </c:rich>
      </c:tx>
      <c:layout>
        <c:manualLayout>
          <c:xMode val="edge"/>
          <c:yMode val="edge"/>
          <c:x val="0.13786427953010982"/>
          <c:y val="2.75510301482028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s>
    <c:plotArea>
      <c:layout>
        <c:manualLayout>
          <c:layoutTarget val="inner"/>
          <c:xMode val="edge"/>
          <c:yMode val="edge"/>
          <c:x val="0.30848375309005222"/>
          <c:y val="0.10763682929489757"/>
          <c:w val="0.49891700402199357"/>
          <c:h val="0.74318943588836661"/>
        </c:manualLayout>
      </c:layout>
      <c:barChart>
        <c:barDir val="bar"/>
        <c:grouping val="clustered"/>
        <c:varyColors val="0"/>
        <c:ser>
          <c:idx val="0"/>
          <c:order val="0"/>
          <c:tx>
            <c:strRef>
              <c:f>Pivot_Tables!$E$2:$E$3</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Pivot_Tables!$D$4:$D$16</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Pivot_Tables!$E$4:$E$16</c:f>
              <c:numCache>
                <c:formatCode>General</c:formatCode>
                <c:ptCount val="12"/>
                <c:pt idx="0">
                  <c:v>43</c:v>
                </c:pt>
                <c:pt idx="1">
                  <c:v>13</c:v>
                </c:pt>
                <c:pt idx="2">
                  <c:v>19</c:v>
                </c:pt>
                <c:pt idx="3">
                  <c:v>13</c:v>
                </c:pt>
                <c:pt idx="4">
                  <c:v>20</c:v>
                </c:pt>
                <c:pt idx="5">
                  <c:v>13</c:v>
                </c:pt>
                <c:pt idx="6">
                  <c:v>14</c:v>
                </c:pt>
                <c:pt idx="7">
                  <c:v>16</c:v>
                </c:pt>
                <c:pt idx="8">
                  <c:v>15</c:v>
                </c:pt>
                <c:pt idx="9">
                  <c:v>38</c:v>
                </c:pt>
                <c:pt idx="10">
                  <c:v>15</c:v>
                </c:pt>
                <c:pt idx="11">
                  <c:v>12</c:v>
                </c:pt>
              </c:numCache>
            </c:numRef>
          </c:val>
          <c:extLst>
            <c:ext xmlns:c16="http://schemas.microsoft.com/office/drawing/2014/chart" uri="{C3380CC4-5D6E-409C-BE32-E72D297353CC}">
              <c16:uniqueId val="{00000000-219F-481C-870C-434E812D58A9}"/>
            </c:ext>
          </c:extLst>
        </c:ser>
        <c:ser>
          <c:idx val="1"/>
          <c:order val="1"/>
          <c:tx>
            <c:strRef>
              <c:f>Pivot_Tables!$F$2:$F$3</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Pivot_Tables!$D$4:$D$16</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Pivot_Tables!$F$4:$F$16</c:f>
              <c:numCache>
                <c:formatCode>General</c:formatCode>
                <c:ptCount val="12"/>
                <c:pt idx="0">
                  <c:v>49</c:v>
                </c:pt>
                <c:pt idx="1">
                  <c:v>17</c:v>
                </c:pt>
                <c:pt idx="2">
                  <c:v>20</c:v>
                </c:pt>
                <c:pt idx="3">
                  <c:v>10</c:v>
                </c:pt>
                <c:pt idx="4">
                  <c:v>15</c:v>
                </c:pt>
                <c:pt idx="5">
                  <c:v>15</c:v>
                </c:pt>
                <c:pt idx="6">
                  <c:v>14</c:v>
                </c:pt>
                <c:pt idx="7">
                  <c:v>15</c:v>
                </c:pt>
                <c:pt idx="8">
                  <c:v>15</c:v>
                </c:pt>
                <c:pt idx="9">
                  <c:v>35</c:v>
                </c:pt>
                <c:pt idx="10">
                  <c:v>17</c:v>
                </c:pt>
                <c:pt idx="11">
                  <c:v>16</c:v>
                </c:pt>
              </c:numCache>
            </c:numRef>
          </c:val>
          <c:extLst>
            <c:ext xmlns:c16="http://schemas.microsoft.com/office/drawing/2014/chart" uri="{C3380CC4-5D6E-409C-BE32-E72D297353CC}">
              <c16:uniqueId val="{00000001-219F-481C-870C-434E812D58A9}"/>
            </c:ext>
          </c:extLst>
        </c:ser>
        <c:ser>
          <c:idx val="2"/>
          <c:order val="2"/>
          <c:tx>
            <c:strRef>
              <c:f>Pivot_Tables!$G$2:$G$3</c:f>
              <c:strCache>
                <c:ptCount val="1"/>
                <c:pt idx="0">
                  <c:v>Other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Pivot_Tables!$D$4:$D$16</c:f>
              <c:strCache>
                <c:ptCount val="12"/>
                <c:pt idx="0">
                  <c:v>Cardiology</c:v>
                </c:pt>
                <c:pt idx="1">
                  <c:v>Dermatology</c:v>
                </c:pt>
                <c:pt idx="2">
                  <c:v>Endocrinology</c:v>
                </c:pt>
                <c:pt idx="3">
                  <c:v>Ent</c:v>
                </c:pt>
                <c:pt idx="4">
                  <c:v>Gastroenterology</c:v>
                </c:pt>
                <c:pt idx="5">
                  <c:v>General Medicine</c:v>
                </c:pt>
                <c:pt idx="6">
                  <c:v>Nephrology</c:v>
                </c:pt>
                <c:pt idx="7">
                  <c:v>Neurology</c:v>
                </c:pt>
                <c:pt idx="8">
                  <c:v>Oncology</c:v>
                </c:pt>
                <c:pt idx="9">
                  <c:v>Orthopedics</c:v>
                </c:pt>
                <c:pt idx="10">
                  <c:v>Pediatrics</c:v>
                </c:pt>
                <c:pt idx="11">
                  <c:v>Psychiatry</c:v>
                </c:pt>
              </c:strCache>
            </c:strRef>
          </c:cat>
          <c:val>
            <c:numRef>
              <c:f>Pivot_Tables!$G$4:$G$16</c:f>
              <c:numCache>
                <c:formatCode>General</c:formatCode>
                <c:ptCount val="12"/>
                <c:pt idx="0">
                  <c:v>14</c:v>
                </c:pt>
                <c:pt idx="1">
                  <c:v>4</c:v>
                </c:pt>
                <c:pt idx="2">
                  <c:v>5</c:v>
                </c:pt>
                <c:pt idx="3">
                  <c:v>6</c:v>
                </c:pt>
                <c:pt idx="4">
                  <c:v>6</c:v>
                </c:pt>
                <c:pt idx="5">
                  <c:v>9</c:v>
                </c:pt>
                <c:pt idx="6">
                  <c:v>6</c:v>
                </c:pt>
                <c:pt idx="7">
                  <c:v>3</c:v>
                </c:pt>
                <c:pt idx="9">
                  <c:v>9</c:v>
                </c:pt>
                <c:pt idx="10">
                  <c:v>4</c:v>
                </c:pt>
                <c:pt idx="11">
                  <c:v>5</c:v>
                </c:pt>
              </c:numCache>
            </c:numRef>
          </c:val>
          <c:extLst>
            <c:ext xmlns:c16="http://schemas.microsoft.com/office/drawing/2014/chart" uri="{C3380CC4-5D6E-409C-BE32-E72D297353CC}">
              <c16:uniqueId val="{00000002-219F-481C-870C-434E812D58A9}"/>
            </c:ext>
          </c:extLst>
        </c:ser>
        <c:dLbls>
          <c:showLegendKey val="0"/>
          <c:showVal val="0"/>
          <c:showCatName val="0"/>
          <c:showSerName val="0"/>
          <c:showPercent val="0"/>
          <c:showBubbleSize val="0"/>
        </c:dLbls>
        <c:gapWidth val="115"/>
        <c:overlap val="-20"/>
        <c:axId val="1178837999"/>
        <c:axId val="2043133343"/>
      </c:barChart>
      <c:catAx>
        <c:axId val="1178837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3133343"/>
        <c:crosses val="autoZero"/>
        <c:auto val="1"/>
        <c:lblAlgn val="ctr"/>
        <c:lblOffset val="100"/>
        <c:noMultiLvlLbl val="0"/>
      </c:catAx>
      <c:valAx>
        <c:axId val="20431333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8379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[Hospital_Data_Analysis_Dashboard.xlsx]Pivot_Tables!PivotTable6</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lineChart>
        <c:grouping val="standard"/>
        <c:varyColors val="0"/>
        <c:ser>
          <c:idx val="0"/>
          <c:order val="0"/>
          <c:tx>
            <c:strRef>
              <c:f>Pivot_Tables!$P$20:$P$22</c:f>
              <c:strCache>
                <c:ptCount val="1"/>
                <c:pt idx="0">
                  <c:v>2021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Pivot_Tables!$P$23:$P$39</c:f>
              <c:numCache>
                <c:formatCode>General</c:formatCode>
                <c:ptCount val="16"/>
                <c:pt idx="0">
                  <c:v>248928.03000000003</c:v>
                </c:pt>
                <c:pt idx="1">
                  <c:v>556584.15</c:v>
                </c:pt>
                <c:pt idx="2">
                  <c:v>444337.32000000007</c:v>
                </c:pt>
                <c:pt idx="3">
                  <c:v>168365.92</c:v>
                </c:pt>
                <c:pt idx="4">
                  <c:v>430625.30999999994</c:v>
                </c:pt>
                <c:pt idx="5">
                  <c:v>269080.27</c:v>
                </c:pt>
                <c:pt idx="6">
                  <c:v>341992.61000000004</c:v>
                </c:pt>
                <c:pt idx="7">
                  <c:v>90775.26</c:v>
                </c:pt>
                <c:pt idx="8">
                  <c:v>239999.88999999998</c:v>
                </c:pt>
                <c:pt idx="9">
                  <c:v>222910.2</c:v>
                </c:pt>
                <c:pt idx="10">
                  <c:v>96411.049999999988</c:v>
                </c:pt>
                <c:pt idx="11">
                  <c:v>574019.56000000006</c:v>
                </c:pt>
                <c:pt idx="12">
                  <c:v>100971.09000000001</c:v>
                </c:pt>
                <c:pt idx="13">
                  <c:v>329284.01000000007</c:v>
                </c:pt>
                <c:pt idx="14">
                  <c:v>213319.56999999998</c:v>
                </c:pt>
                <c:pt idx="15">
                  <c:v>134577.07000000004</c:v>
                </c:pt>
              </c:numCache>
            </c:numRef>
          </c:val>
          <c:smooth val="0"/>
          <c:extLst>
            <c:ext xmlns:c16="http://schemas.microsoft.com/office/drawing/2014/chart" uri="{C3380CC4-5D6E-409C-BE32-E72D297353CC}">
              <c16:uniqueId val="{00000000-C5AD-4004-A605-573CCF03DB17}"/>
            </c:ext>
          </c:extLst>
        </c:ser>
        <c:ser>
          <c:idx val="1"/>
          <c:order val="1"/>
          <c:tx>
            <c:strRef>
              <c:f>Pivot_Tables!$Q$20:$Q$22</c:f>
              <c:strCache>
                <c:ptCount val="1"/>
                <c:pt idx="0">
                  <c:v>2022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Pivot_Tables!$Q$23:$Q$39</c:f>
              <c:numCache>
                <c:formatCode>General</c:formatCode>
                <c:ptCount val="16"/>
                <c:pt idx="0">
                  <c:v>296067.32</c:v>
                </c:pt>
                <c:pt idx="1">
                  <c:v>459203.52000000008</c:v>
                </c:pt>
                <c:pt idx="2">
                  <c:v>315562.89000000007</c:v>
                </c:pt>
                <c:pt idx="3">
                  <c:v>118539.9</c:v>
                </c:pt>
                <c:pt idx="4">
                  <c:v>353052.52</c:v>
                </c:pt>
                <c:pt idx="5">
                  <c:v>182328.81</c:v>
                </c:pt>
                <c:pt idx="6">
                  <c:v>329343.56</c:v>
                </c:pt>
                <c:pt idx="7">
                  <c:v>381527.74</c:v>
                </c:pt>
                <c:pt idx="8">
                  <c:v>157525.81</c:v>
                </c:pt>
                <c:pt idx="9">
                  <c:v>113135.44</c:v>
                </c:pt>
                <c:pt idx="10">
                  <c:v>17514.28</c:v>
                </c:pt>
                <c:pt idx="11">
                  <c:v>465587.87999999989</c:v>
                </c:pt>
                <c:pt idx="12">
                  <c:v>310062.06</c:v>
                </c:pt>
                <c:pt idx="13">
                  <c:v>366201.76</c:v>
                </c:pt>
                <c:pt idx="14">
                  <c:v>42009.09</c:v>
                </c:pt>
                <c:pt idx="15">
                  <c:v>111635.45999999999</c:v>
                </c:pt>
              </c:numCache>
            </c:numRef>
          </c:val>
          <c:smooth val="0"/>
          <c:extLst>
            <c:ext xmlns:c16="http://schemas.microsoft.com/office/drawing/2014/chart" uri="{C3380CC4-5D6E-409C-BE32-E72D297353CC}">
              <c16:uniqueId val="{00000001-C5AD-4004-A605-573CCF03DB17}"/>
            </c:ext>
          </c:extLst>
        </c:ser>
        <c:ser>
          <c:idx val="2"/>
          <c:order val="2"/>
          <c:tx>
            <c:strRef>
              <c:f>Pivot_Tables!$R$20:$R$22</c:f>
              <c:strCache>
                <c:ptCount val="1"/>
                <c:pt idx="0">
                  <c:v>2023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Pivot_Tables!$O$23:$O$39</c:f>
              <c:strCache>
                <c:ptCount val="16"/>
                <c:pt idx="0">
                  <c:v>Ahmedabad</c:v>
                </c:pt>
                <c:pt idx="1">
                  <c:v>Bengaluru</c:v>
                </c:pt>
                <c:pt idx="2">
                  <c:v>Chennai</c:v>
                </c:pt>
                <c:pt idx="3">
                  <c:v>Chicago</c:v>
                </c:pt>
                <c:pt idx="4">
                  <c:v>Delhi</c:v>
                </c:pt>
                <c:pt idx="5">
                  <c:v>Houston</c:v>
                </c:pt>
                <c:pt idx="6">
                  <c:v>Hyderabad</c:v>
                </c:pt>
                <c:pt idx="7">
                  <c:v>Jaipur</c:v>
                </c:pt>
                <c:pt idx="8">
                  <c:v>Kolkata</c:v>
                </c:pt>
                <c:pt idx="9">
                  <c:v>London</c:v>
                </c:pt>
                <c:pt idx="10">
                  <c:v>Los Angeles</c:v>
                </c:pt>
                <c:pt idx="11">
                  <c:v>Mumbai</c:v>
                </c:pt>
                <c:pt idx="12">
                  <c:v>New York</c:v>
                </c:pt>
                <c:pt idx="13">
                  <c:v>Pune</c:v>
                </c:pt>
                <c:pt idx="14">
                  <c:v>Sydney</c:v>
                </c:pt>
                <c:pt idx="15">
                  <c:v>Toronto</c:v>
                </c:pt>
              </c:strCache>
            </c:strRef>
          </c:cat>
          <c:val>
            <c:numRef>
              <c:f>Pivot_Tables!$R$23:$R$39</c:f>
              <c:numCache>
                <c:formatCode>General</c:formatCode>
                <c:ptCount val="16"/>
                <c:pt idx="0">
                  <c:v>221841.62</c:v>
                </c:pt>
                <c:pt idx="1">
                  <c:v>520636</c:v>
                </c:pt>
                <c:pt idx="2">
                  <c:v>508550.44999999995</c:v>
                </c:pt>
                <c:pt idx="3">
                  <c:v>144543.16</c:v>
                </c:pt>
                <c:pt idx="4">
                  <c:v>507386.18</c:v>
                </c:pt>
                <c:pt idx="5">
                  <c:v>186734.94</c:v>
                </c:pt>
                <c:pt idx="6">
                  <c:v>284463.71999999997</c:v>
                </c:pt>
                <c:pt idx="7">
                  <c:v>101766.38</c:v>
                </c:pt>
                <c:pt idx="8">
                  <c:v>98004.03</c:v>
                </c:pt>
                <c:pt idx="9">
                  <c:v>110130.16</c:v>
                </c:pt>
                <c:pt idx="10">
                  <c:v>130209.15000000001</c:v>
                </c:pt>
                <c:pt idx="11">
                  <c:v>664351.42000000004</c:v>
                </c:pt>
                <c:pt idx="12">
                  <c:v>140186.94</c:v>
                </c:pt>
                <c:pt idx="13">
                  <c:v>568323.56999999995</c:v>
                </c:pt>
                <c:pt idx="14">
                  <c:v>143944.31</c:v>
                </c:pt>
                <c:pt idx="15">
                  <c:v>210418.39000000004</c:v>
                </c:pt>
              </c:numCache>
            </c:numRef>
          </c:val>
          <c:smooth val="0"/>
          <c:extLst>
            <c:ext xmlns:c16="http://schemas.microsoft.com/office/drawing/2014/chart" uri="{C3380CC4-5D6E-409C-BE32-E72D297353CC}">
              <c16:uniqueId val="{00000002-C5AD-4004-A605-573CCF03DB17}"/>
            </c:ext>
          </c:extLst>
        </c:ser>
        <c:dLbls>
          <c:showLegendKey val="0"/>
          <c:showVal val="0"/>
          <c:showCatName val="0"/>
          <c:showSerName val="0"/>
          <c:showPercent val="0"/>
          <c:showBubbleSize val="0"/>
        </c:dLbls>
        <c:marker val="1"/>
        <c:smooth val="0"/>
        <c:axId val="1814536543"/>
        <c:axId val="1814527391"/>
      </c:lineChart>
      <c:catAx>
        <c:axId val="1814536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Total Billing by City &amp; Year </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527391"/>
        <c:crosses val="autoZero"/>
        <c:auto val="1"/>
        <c:lblAlgn val="ctr"/>
        <c:lblOffset val="100"/>
        <c:noMultiLvlLbl val="0"/>
      </c:catAx>
      <c:valAx>
        <c:axId val="1814527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4536543"/>
        <c:crosses val="autoZero"/>
        <c:crossBetween val="between"/>
      </c:valAx>
      <c:spPr>
        <a:noFill/>
        <a:ln>
          <a:noFill/>
        </a:ln>
        <a:effectLst/>
      </c:spPr>
    </c:plotArea>
    <c:legend>
      <c:legendPos val="r"/>
      <c:layout>
        <c:manualLayout>
          <c:xMode val="edge"/>
          <c:yMode val="edge"/>
          <c:x val="0.73491523141299464"/>
          <c:y val="0.330314081379397"/>
          <c:w val="0.2022088747096322"/>
          <c:h val="0.33937130939995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[Hospital_Data_Analysis_Dashboard.xlsx]Pivot_Tables!PivotTable5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Diagnosis by Average Bill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Pivot_Tables!$B$2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Pivot_Tables!$A$3:$A$13</c:f>
              <c:strCache>
                <c:ptCount val="10"/>
                <c:pt idx="0">
                  <c:v>Arthritis</c:v>
                </c:pt>
                <c:pt idx="1">
                  <c:v>Thyroid Disorder</c:v>
                </c:pt>
                <c:pt idx="2">
                  <c:v>Heart Disease</c:v>
                </c:pt>
                <c:pt idx="3">
                  <c:v>Allergy</c:v>
                </c:pt>
                <c:pt idx="4">
                  <c:v>Anxiety</c:v>
                </c:pt>
                <c:pt idx="5">
                  <c:v>Covid19</c:v>
                </c:pt>
                <c:pt idx="6">
                  <c:v>Asthma</c:v>
                </c:pt>
                <c:pt idx="7">
                  <c:v>Pneumonia</c:v>
                </c:pt>
                <c:pt idx="8">
                  <c:v>Tuberculosis</c:v>
                </c:pt>
                <c:pt idx="9">
                  <c:v>Migraine</c:v>
                </c:pt>
              </c:strCache>
            </c:strRef>
          </c:cat>
          <c:val>
            <c:numRef>
              <c:f>Pivot_Tables!$B$3:$B$13</c:f>
              <c:numCache>
                <c:formatCode>General</c:formatCode>
                <c:ptCount val="10"/>
                <c:pt idx="0">
                  <c:v>29863.70111111111</c:v>
                </c:pt>
                <c:pt idx="1">
                  <c:v>28203.213499999994</c:v>
                </c:pt>
                <c:pt idx="2">
                  <c:v>27518.682272727277</c:v>
                </c:pt>
                <c:pt idx="3">
                  <c:v>26509.152222222227</c:v>
                </c:pt>
                <c:pt idx="4">
                  <c:v>26317.880000000008</c:v>
                </c:pt>
                <c:pt idx="5">
                  <c:v>25305.121799999997</c:v>
                </c:pt>
                <c:pt idx="6">
                  <c:v>25286.913043478267</c:v>
                </c:pt>
                <c:pt idx="7">
                  <c:v>24962.894736842107</c:v>
                </c:pt>
                <c:pt idx="8">
                  <c:v>24791.925609756097</c:v>
                </c:pt>
                <c:pt idx="9">
                  <c:v>24616.859999999997</c:v>
                </c:pt>
              </c:numCache>
            </c:numRef>
          </c:val>
          <c:extLst>
            <c:ext xmlns:c16="http://schemas.microsoft.com/office/drawing/2014/chart" uri="{C3380CC4-5D6E-409C-BE32-E72D297353CC}">
              <c16:uniqueId val="{00000000-7DAB-4C6C-8940-687582D10953}"/>
            </c:ext>
          </c:extLst>
        </c:ser>
        <c:dLbls>
          <c:dLblPos val="outEnd"/>
          <c:showLegendKey val="0"/>
          <c:showVal val="0"/>
          <c:showCatName val="0"/>
          <c:showSerName val="0"/>
          <c:showPercent val="0"/>
          <c:showBubbleSize val="0"/>
        </c:dLbls>
        <c:gapWidth val="100"/>
        <c:overlap val="-24"/>
        <c:axId val="1814533631"/>
        <c:axId val="1814525311"/>
      </c:barChart>
      <c:catAx>
        <c:axId val="1814533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525311"/>
        <c:crosses val="autoZero"/>
        <c:auto val="1"/>
        <c:lblAlgn val="ctr"/>
        <c:lblOffset val="100"/>
        <c:noMultiLvlLbl val="0"/>
      </c:catAx>
      <c:valAx>
        <c:axId val="1814525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45336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[Hospital_Data_Analysis_Dashboard.xlsx]Pivot_Tables!PivotTable7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Patients By Age Group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3"/>
      </c:pivotFmt>
      <c:pivotFmt>
        <c:idx val="64"/>
      </c:pivotFmt>
      <c:pivotFmt>
        <c:idx val="65"/>
      </c:pivotFmt>
      <c:pivotFmt>
        <c:idx val="66"/>
      </c:pivotFmt>
      <c:pivotFmt>
        <c:idx val="67"/>
      </c:pivotFmt>
      <c:pivotFmt>
        <c:idx val="6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pivotFmt>
      <c:pivotFmt>
        <c:idx val="70"/>
      </c:pivotFmt>
      <c:pivotFmt>
        <c:idx val="71"/>
      </c:pivotFmt>
      <c:pivotFmt>
        <c:idx val="72"/>
      </c:pivotFmt>
      <c:pivotFmt>
        <c:idx val="73"/>
      </c:pivotFmt>
      <c:pivotFmt>
        <c:idx val="76"/>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s>
    <c:plotArea>
      <c:layout>
        <c:manualLayout>
          <c:layoutTarget val="inner"/>
          <c:xMode val="edge"/>
          <c:yMode val="edge"/>
          <c:x val="0.14960800360788767"/>
          <c:y val="0.20602002249793436"/>
          <c:w val="0.44552819942162375"/>
          <c:h val="0.78543806265575189"/>
        </c:manualLayout>
      </c:layout>
      <c:pieChart>
        <c:varyColors val="1"/>
        <c:ser>
          <c:idx val="0"/>
          <c:order val="0"/>
          <c:tx>
            <c:strRef>
              <c:f>Pivot_Tables!$P$2</c:f>
              <c:strCache>
                <c:ptCount val="1"/>
                <c:pt idx="0">
                  <c:v>Count of Patient_ID2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49-41CE-A5E6-D5F2C5A84A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49-41CE-A5E6-D5F2C5A84A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749-41CE-A5E6-D5F2C5A84A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749-41CE-A5E6-D5F2C5A84A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749-41CE-A5E6-D5F2C5A84A4F}"/>
              </c:ext>
            </c:extLst>
          </c:dPt>
          <c:cat>
            <c:strRef>
              <c:f>Pivot_Tables!$O$3:$O$8</c:f>
              <c:strCache>
                <c:ptCount val="5"/>
                <c:pt idx="0">
                  <c:v>Adult</c:v>
                </c:pt>
                <c:pt idx="1">
                  <c:v>Child</c:v>
                </c:pt>
                <c:pt idx="2">
                  <c:v>Senior</c:v>
                </c:pt>
                <c:pt idx="3">
                  <c:v>Unknown</c:v>
                </c:pt>
                <c:pt idx="4">
                  <c:v>Young Adult</c:v>
                </c:pt>
              </c:strCache>
            </c:strRef>
          </c:cat>
          <c:val>
            <c:numRef>
              <c:f>Pivot_Tables!$P$3:$P$8</c:f>
              <c:numCache>
                <c:formatCode>General</c:formatCode>
                <c:ptCount val="5"/>
                <c:pt idx="0">
                  <c:v>189</c:v>
                </c:pt>
                <c:pt idx="1">
                  <c:v>107</c:v>
                </c:pt>
                <c:pt idx="2">
                  <c:v>181</c:v>
                </c:pt>
                <c:pt idx="3">
                  <c:v>20</c:v>
                </c:pt>
                <c:pt idx="4">
                  <c:v>43</c:v>
                </c:pt>
              </c:numCache>
            </c:numRef>
          </c:val>
          <c:extLst>
            <c:ext xmlns:c16="http://schemas.microsoft.com/office/drawing/2014/chart" uri="{C3380CC4-5D6E-409C-BE32-E72D297353CC}">
              <c16:uniqueId val="{0000000A-8749-41CE-A5E6-D5F2C5A84A4F}"/>
            </c:ext>
          </c:extLst>
        </c:ser>
        <c:ser>
          <c:idx val="1"/>
          <c:order val="1"/>
          <c:tx>
            <c:strRef>
              <c:f>Pivot_Tables!$Q$2</c:f>
              <c:strCache>
                <c:ptCount val="1"/>
                <c:pt idx="0">
                  <c:v>Percent of Patient_ID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8749-41CE-A5E6-D5F2C5A84A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8749-41CE-A5E6-D5F2C5A84A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8749-41CE-A5E6-D5F2C5A84A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8749-41CE-A5E6-D5F2C5A84A4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8749-41CE-A5E6-D5F2C5A84A4F}"/>
              </c:ext>
            </c:extLst>
          </c:dPt>
          <c:cat>
            <c:strRef>
              <c:f>Pivot_Tables!$O$3:$O$8</c:f>
              <c:strCache>
                <c:ptCount val="5"/>
                <c:pt idx="0">
                  <c:v>Adult</c:v>
                </c:pt>
                <c:pt idx="1">
                  <c:v>Child</c:v>
                </c:pt>
                <c:pt idx="2">
                  <c:v>Senior</c:v>
                </c:pt>
                <c:pt idx="3">
                  <c:v>Unknown</c:v>
                </c:pt>
                <c:pt idx="4">
                  <c:v>Young Adult</c:v>
                </c:pt>
              </c:strCache>
            </c:strRef>
          </c:cat>
          <c:val>
            <c:numRef>
              <c:f>Pivot_Tables!$Q$3:$Q$8</c:f>
              <c:numCache>
                <c:formatCode>0.00%</c:formatCode>
                <c:ptCount val="5"/>
                <c:pt idx="0">
                  <c:v>0.35</c:v>
                </c:pt>
                <c:pt idx="1">
                  <c:v>0.19814814814814816</c:v>
                </c:pt>
                <c:pt idx="2">
                  <c:v>0.3351851851851852</c:v>
                </c:pt>
                <c:pt idx="3">
                  <c:v>3.7037037037037035E-2</c:v>
                </c:pt>
                <c:pt idx="4">
                  <c:v>7.9629629629629634E-2</c:v>
                </c:pt>
              </c:numCache>
            </c:numRef>
          </c:val>
          <c:extLst>
            <c:ext xmlns:c16="http://schemas.microsoft.com/office/drawing/2014/chart" uri="{C3380CC4-5D6E-409C-BE32-E72D297353CC}">
              <c16:uniqueId val="{00000015-8749-41CE-A5E6-D5F2C5A84A4F}"/>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DEPARTMENT-WISE MONTHLY BILLING</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Pivot_Tables!$A$21</c:f>
              <c:strCache>
                <c:ptCount val="1"/>
                <c:pt idx="0">
                  <c:v>Cardiology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Pivot_Tables!$B$21:$M$21</c:f>
              <c:numCache>
                <c:formatCode>General</c:formatCode>
                <c:ptCount val="12"/>
                <c:pt idx="0">
                  <c:v>348481.29</c:v>
                </c:pt>
                <c:pt idx="1">
                  <c:v>231805.60000000003</c:v>
                </c:pt>
                <c:pt idx="2">
                  <c:v>304994.69</c:v>
                </c:pt>
                <c:pt idx="3">
                  <c:v>326603.57999999996</c:v>
                </c:pt>
                <c:pt idx="4">
                  <c:v>343578.77999999997</c:v>
                </c:pt>
                <c:pt idx="5">
                  <c:v>97152.639999999999</c:v>
                </c:pt>
                <c:pt idx="6">
                  <c:v>343264.1</c:v>
                </c:pt>
                <c:pt idx="7">
                  <c:v>164673.18000000002</c:v>
                </c:pt>
                <c:pt idx="8">
                  <c:v>106887.89</c:v>
                </c:pt>
                <c:pt idx="9">
                  <c:v>170183.72</c:v>
                </c:pt>
                <c:pt idx="10">
                  <c:v>55078.45</c:v>
                </c:pt>
                <c:pt idx="11">
                  <c:v>237397.34</c:v>
                </c:pt>
              </c:numCache>
            </c:numRef>
          </c:val>
          <c:extLst>
            <c:ext xmlns:c16="http://schemas.microsoft.com/office/drawing/2014/chart" uri="{C3380CC4-5D6E-409C-BE32-E72D297353CC}">
              <c16:uniqueId val="{00000000-FD77-4D9F-B21F-79AA204BFFEA}"/>
            </c:ext>
          </c:extLst>
        </c:ser>
        <c:ser>
          <c:idx val="1"/>
          <c:order val="1"/>
          <c:tx>
            <c:strRef>
              <c:f>Pivot_Tables!$A$22</c:f>
              <c:strCache>
                <c:ptCount val="1"/>
                <c:pt idx="0">
                  <c:v>Dermatology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Pivot_Tables!$B$22:$M$22</c:f>
              <c:numCache>
                <c:formatCode>General</c:formatCode>
                <c:ptCount val="12"/>
                <c:pt idx="0">
                  <c:v>7522.8</c:v>
                </c:pt>
                <c:pt idx="1">
                  <c:v>184802.08</c:v>
                </c:pt>
                <c:pt idx="2">
                  <c:v>62989.46</c:v>
                </c:pt>
                <c:pt idx="3">
                  <c:v>59743.28</c:v>
                </c:pt>
                <c:pt idx="4">
                  <c:v>82205.099999999991</c:v>
                </c:pt>
                <c:pt idx="5">
                  <c:v>88463.459999999992</c:v>
                </c:pt>
                <c:pt idx="7">
                  <c:v>57539.61</c:v>
                </c:pt>
                <c:pt idx="8">
                  <c:v>55425.3</c:v>
                </c:pt>
                <c:pt idx="9">
                  <c:v>19885.72</c:v>
                </c:pt>
                <c:pt idx="10">
                  <c:v>107598.39</c:v>
                </c:pt>
                <c:pt idx="11">
                  <c:v>82941.84</c:v>
                </c:pt>
              </c:numCache>
            </c:numRef>
          </c:val>
          <c:extLst>
            <c:ext xmlns:c16="http://schemas.microsoft.com/office/drawing/2014/chart" uri="{C3380CC4-5D6E-409C-BE32-E72D297353CC}">
              <c16:uniqueId val="{00000001-FD77-4D9F-B21F-79AA204BFFEA}"/>
            </c:ext>
          </c:extLst>
        </c:ser>
        <c:ser>
          <c:idx val="2"/>
          <c:order val="2"/>
          <c:tx>
            <c:strRef>
              <c:f>Pivot_Tables!$A$23</c:f>
              <c:strCache>
                <c:ptCount val="1"/>
                <c:pt idx="0">
                  <c:v>Endocrinology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Pivot_Tables!$B$23:$M$23</c:f>
              <c:numCache>
                <c:formatCode>General</c:formatCode>
                <c:ptCount val="12"/>
                <c:pt idx="0">
                  <c:v>181281.67</c:v>
                </c:pt>
                <c:pt idx="1">
                  <c:v>51576.869999999995</c:v>
                </c:pt>
                <c:pt idx="2">
                  <c:v>43171.49</c:v>
                </c:pt>
                <c:pt idx="3">
                  <c:v>142672.81</c:v>
                </c:pt>
                <c:pt idx="4">
                  <c:v>16429.2</c:v>
                </c:pt>
                <c:pt idx="5">
                  <c:v>86064.989999999991</c:v>
                </c:pt>
                <c:pt idx="6">
                  <c:v>35724.67</c:v>
                </c:pt>
                <c:pt idx="7">
                  <c:v>167157.35</c:v>
                </c:pt>
                <c:pt idx="8">
                  <c:v>143150.97</c:v>
                </c:pt>
                <c:pt idx="9">
                  <c:v>29724.21</c:v>
                </c:pt>
                <c:pt idx="10">
                  <c:v>47698.239999999998</c:v>
                </c:pt>
                <c:pt idx="11">
                  <c:v>80087.09</c:v>
                </c:pt>
              </c:numCache>
            </c:numRef>
          </c:val>
          <c:extLst>
            <c:ext xmlns:c16="http://schemas.microsoft.com/office/drawing/2014/chart" uri="{C3380CC4-5D6E-409C-BE32-E72D297353CC}">
              <c16:uniqueId val="{00000002-FD77-4D9F-B21F-79AA204BFFEA}"/>
            </c:ext>
          </c:extLst>
        </c:ser>
        <c:ser>
          <c:idx val="3"/>
          <c:order val="3"/>
          <c:tx>
            <c:strRef>
              <c:f>Pivot_Tables!$A$24</c:f>
              <c:strCache>
                <c:ptCount val="1"/>
                <c:pt idx="0">
                  <c:v>Ent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Pivot_Tables!$B$24:$M$24</c:f>
              <c:numCache>
                <c:formatCode>General</c:formatCode>
                <c:ptCount val="12"/>
                <c:pt idx="0">
                  <c:v>78290.25</c:v>
                </c:pt>
                <c:pt idx="1">
                  <c:v>123079.9</c:v>
                </c:pt>
                <c:pt idx="2">
                  <c:v>4321.4799999999996</c:v>
                </c:pt>
                <c:pt idx="3">
                  <c:v>11993.04</c:v>
                </c:pt>
                <c:pt idx="4">
                  <c:v>30725.23</c:v>
                </c:pt>
                <c:pt idx="5">
                  <c:v>15145.68</c:v>
                </c:pt>
                <c:pt idx="6">
                  <c:v>55719.96</c:v>
                </c:pt>
                <c:pt idx="7">
                  <c:v>76148.160000000003</c:v>
                </c:pt>
                <c:pt idx="8">
                  <c:v>63323.839999999997</c:v>
                </c:pt>
                <c:pt idx="9">
                  <c:v>69807.040000000008</c:v>
                </c:pt>
                <c:pt idx="10">
                  <c:v>59554.96</c:v>
                </c:pt>
                <c:pt idx="11">
                  <c:v>60411.659999999996</c:v>
                </c:pt>
              </c:numCache>
            </c:numRef>
          </c:val>
          <c:extLst>
            <c:ext xmlns:c16="http://schemas.microsoft.com/office/drawing/2014/chart" uri="{C3380CC4-5D6E-409C-BE32-E72D297353CC}">
              <c16:uniqueId val="{00000003-FD77-4D9F-B21F-79AA204BFFEA}"/>
            </c:ext>
          </c:extLst>
        </c:ser>
        <c:ser>
          <c:idx val="4"/>
          <c:order val="4"/>
          <c:tx>
            <c:strRef>
              <c:f>Pivot_Tables!$A$25</c:f>
              <c:strCache>
                <c:ptCount val="1"/>
                <c:pt idx="0">
                  <c:v>Gastroenterology</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Pivot_Tables!$B$25:$M$25</c:f>
              <c:numCache>
                <c:formatCode>General</c:formatCode>
                <c:ptCount val="12"/>
                <c:pt idx="0">
                  <c:v>62987.6</c:v>
                </c:pt>
                <c:pt idx="1">
                  <c:v>121487.32999999999</c:v>
                </c:pt>
                <c:pt idx="2">
                  <c:v>92403.78</c:v>
                </c:pt>
                <c:pt idx="3">
                  <c:v>81128.399999999994</c:v>
                </c:pt>
                <c:pt idx="4">
                  <c:v>89924.48000000001</c:v>
                </c:pt>
                <c:pt idx="5">
                  <c:v>20625.490000000002</c:v>
                </c:pt>
                <c:pt idx="6">
                  <c:v>105545.84</c:v>
                </c:pt>
                <c:pt idx="7">
                  <c:v>107867.2</c:v>
                </c:pt>
                <c:pt idx="8">
                  <c:v>50895.96</c:v>
                </c:pt>
                <c:pt idx="9">
                  <c:v>1061.8499999999999</c:v>
                </c:pt>
                <c:pt idx="10">
                  <c:v>97886.080000000002</c:v>
                </c:pt>
                <c:pt idx="11">
                  <c:v>45256.480000000003</c:v>
                </c:pt>
              </c:numCache>
            </c:numRef>
          </c:val>
          <c:extLst>
            <c:ext xmlns:c16="http://schemas.microsoft.com/office/drawing/2014/chart" uri="{C3380CC4-5D6E-409C-BE32-E72D297353CC}">
              <c16:uniqueId val="{00000004-FD77-4D9F-B21F-79AA204BFFEA}"/>
            </c:ext>
          </c:extLst>
        </c:ser>
        <c:ser>
          <c:idx val="5"/>
          <c:order val="5"/>
          <c:tx>
            <c:strRef>
              <c:f>Pivot_Tables!$A$26</c:f>
              <c:strCache>
                <c:ptCount val="1"/>
                <c:pt idx="0">
                  <c:v>General Medicine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Pivot_Tables!$B$26:$M$26</c:f>
              <c:numCache>
                <c:formatCode>General</c:formatCode>
                <c:ptCount val="12"/>
                <c:pt idx="0">
                  <c:v>105519.22</c:v>
                </c:pt>
                <c:pt idx="1">
                  <c:v>35510.31</c:v>
                </c:pt>
                <c:pt idx="2">
                  <c:v>20931.830000000002</c:v>
                </c:pt>
                <c:pt idx="3">
                  <c:v>90359.47</c:v>
                </c:pt>
                <c:pt idx="4">
                  <c:v>158784.13</c:v>
                </c:pt>
                <c:pt idx="6">
                  <c:v>43252.289999999994</c:v>
                </c:pt>
                <c:pt idx="7">
                  <c:v>102432.18</c:v>
                </c:pt>
                <c:pt idx="8">
                  <c:v>47809.72</c:v>
                </c:pt>
                <c:pt idx="9">
                  <c:v>76545.77</c:v>
                </c:pt>
                <c:pt idx="10">
                  <c:v>44662.869999999995</c:v>
                </c:pt>
                <c:pt idx="11">
                  <c:v>73778.95</c:v>
                </c:pt>
              </c:numCache>
            </c:numRef>
          </c:val>
          <c:extLst>
            <c:ext xmlns:c16="http://schemas.microsoft.com/office/drawing/2014/chart" uri="{C3380CC4-5D6E-409C-BE32-E72D297353CC}">
              <c16:uniqueId val="{00000005-FD77-4D9F-B21F-79AA204BFFEA}"/>
            </c:ext>
          </c:extLst>
        </c:ser>
        <c:ser>
          <c:idx val="6"/>
          <c:order val="6"/>
          <c:tx>
            <c:strRef>
              <c:f>Pivot_Tables!$A$27</c:f>
              <c:strCache>
                <c:ptCount val="1"/>
                <c:pt idx="0">
                  <c:v>Nephrology</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Pivot_Tables!$B$27:$M$27</c:f>
              <c:numCache>
                <c:formatCode>General</c:formatCode>
                <c:ptCount val="12"/>
                <c:pt idx="0">
                  <c:v>26510.16</c:v>
                </c:pt>
                <c:pt idx="1">
                  <c:v>119839.16</c:v>
                </c:pt>
                <c:pt idx="2">
                  <c:v>188735.24</c:v>
                </c:pt>
                <c:pt idx="3">
                  <c:v>122216.23</c:v>
                </c:pt>
                <c:pt idx="4">
                  <c:v>18791.59</c:v>
                </c:pt>
                <c:pt idx="5">
                  <c:v>127777.51</c:v>
                </c:pt>
                <c:pt idx="6">
                  <c:v>66155.45</c:v>
                </c:pt>
                <c:pt idx="7">
                  <c:v>32459.78</c:v>
                </c:pt>
                <c:pt idx="8">
                  <c:v>82120.239999999991</c:v>
                </c:pt>
                <c:pt idx="9">
                  <c:v>108646.37</c:v>
                </c:pt>
                <c:pt idx="10">
                  <c:v>118228.73000000001</c:v>
                </c:pt>
                <c:pt idx="11">
                  <c:v>14847.88</c:v>
                </c:pt>
              </c:numCache>
            </c:numRef>
          </c:val>
          <c:extLst>
            <c:ext xmlns:c16="http://schemas.microsoft.com/office/drawing/2014/chart" uri="{C3380CC4-5D6E-409C-BE32-E72D297353CC}">
              <c16:uniqueId val="{00000006-FD77-4D9F-B21F-79AA204BFFEA}"/>
            </c:ext>
          </c:extLst>
        </c:ser>
        <c:ser>
          <c:idx val="7"/>
          <c:order val="7"/>
          <c:tx>
            <c:strRef>
              <c:f>Pivot_Tables!$A$28</c:f>
              <c:strCache>
                <c:ptCount val="1"/>
                <c:pt idx="0">
                  <c:v>Neurology</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Pivot_Tables!$B$28:$M$28</c:f>
              <c:numCache>
                <c:formatCode>General</c:formatCode>
                <c:ptCount val="12"/>
                <c:pt idx="0">
                  <c:v>110029.37999999999</c:v>
                </c:pt>
                <c:pt idx="1">
                  <c:v>97892.739999999991</c:v>
                </c:pt>
                <c:pt idx="2">
                  <c:v>75269.19</c:v>
                </c:pt>
                <c:pt idx="3">
                  <c:v>88231.459999999992</c:v>
                </c:pt>
                <c:pt idx="4">
                  <c:v>108340.54</c:v>
                </c:pt>
                <c:pt idx="5">
                  <c:v>119922.19</c:v>
                </c:pt>
                <c:pt idx="7">
                  <c:v>127665.36</c:v>
                </c:pt>
                <c:pt idx="8">
                  <c:v>49154.97</c:v>
                </c:pt>
                <c:pt idx="10">
                  <c:v>4280.78</c:v>
                </c:pt>
                <c:pt idx="11">
                  <c:v>26490.25</c:v>
                </c:pt>
              </c:numCache>
            </c:numRef>
          </c:val>
          <c:extLst>
            <c:ext xmlns:c16="http://schemas.microsoft.com/office/drawing/2014/chart" uri="{C3380CC4-5D6E-409C-BE32-E72D297353CC}">
              <c16:uniqueId val="{00000007-FD77-4D9F-B21F-79AA204BFFEA}"/>
            </c:ext>
          </c:extLst>
        </c:ser>
        <c:ser>
          <c:idx val="8"/>
          <c:order val="8"/>
          <c:tx>
            <c:strRef>
              <c:f>Pivot_Tables!$A$29</c:f>
              <c:strCache>
                <c:ptCount val="1"/>
                <c:pt idx="0">
                  <c:v>Oncology</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Pivot_Tables!$B$29:$M$29</c:f>
              <c:numCache>
                <c:formatCode>General</c:formatCode>
                <c:ptCount val="12"/>
                <c:pt idx="0">
                  <c:v>79296.820000000007</c:v>
                </c:pt>
                <c:pt idx="1">
                  <c:v>79687.05</c:v>
                </c:pt>
                <c:pt idx="2">
                  <c:v>53790.490000000005</c:v>
                </c:pt>
                <c:pt idx="3">
                  <c:v>29732.58</c:v>
                </c:pt>
                <c:pt idx="4">
                  <c:v>26010.78</c:v>
                </c:pt>
                <c:pt idx="5">
                  <c:v>140449.63</c:v>
                </c:pt>
                <c:pt idx="6">
                  <c:v>86645.13</c:v>
                </c:pt>
                <c:pt idx="7">
                  <c:v>25106.560000000001</c:v>
                </c:pt>
                <c:pt idx="8">
                  <c:v>43668.91</c:v>
                </c:pt>
                <c:pt idx="9">
                  <c:v>61205.600000000006</c:v>
                </c:pt>
                <c:pt idx="10">
                  <c:v>89748.83</c:v>
                </c:pt>
                <c:pt idx="11">
                  <c:v>33727.47</c:v>
                </c:pt>
              </c:numCache>
            </c:numRef>
          </c:val>
          <c:extLst>
            <c:ext xmlns:c16="http://schemas.microsoft.com/office/drawing/2014/chart" uri="{C3380CC4-5D6E-409C-BE32-E72D297353CC}">
              <c16:uniqueId val="{00000008-FD77-4D9F-B21F-79AA204BFFEA}"/>
            </c:ext>
          </c:extLst>
        </c:ser>
        <c:ser>
          <c:idx val="9"/>
          <c:order val="9"/>
          <c:tx>
            <c:strRef>
              <c:f>Pivot_Tables!$A$30</c:f>
              <c:strCache>
                <c:ptCount val="1"/>
                <c:pt idx="0">
                  <c:v>Orthopedics</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Pivot_Tables!$B$30:$M$30</c:f>
              <c:numCache>
                <c:formatCode>General</c:formatCode>
                <c:ptCount val="12"/>
                <c:pt idx="0">
                  <c:v>207609.3</c:v>
                </c:pt>
                <c:pt idx="1">
                  <c:v>148420.28</c:v>
                </c:pt>
                <c:pt idx="2">
                  <c:v>129087.04000000001</c:v>
                </c:pt>
                <c:pt idx="3">
                  <c:v>154494.38</c:v>
                </c:pt>
                <c:pt idx="4">
                  <c:v>100604.4</c:v>
                </c:pt>
                <c:pt idx="5">
                  <c:v>130102.24</c:v>
                </c:pt>
                <c:pt idx="6">
                  <c:v>190270.94</c:v>
                </c:pt>
                <c:pt idx="7">
                  <c:v>311641.21999999997</c:v>
                </c:pt>
                <c:pt idx="8">
                  <c:v>60725.66</c:v>
                </c:pt>
                <c:pt idx="9">
                  <c:v>137697.63999999998</c:v>
                </c:pt>
                <c:pt idx="10">
                  <c:v>101888.65</c:v>
                </c:pt>
                <c:pt idx="11">
                  <c:v>204149.27999999997</c:v>
                </c:pt>
              </c:numCache>
            </c:numRef>
          </c:val>
          <c:extLst>
            <c:ext xmlns:c16="http://schemas.microsoft.com/office/drawing/2014/chart" uri="{C3380CC4-5D6E-409C-BE32-E72D297353CC}">
              <c16:uniqueId val="{00000009-FD77-4D9F-B21F-79AA204BFFEA}"/>
            </c:ext>
          </c:extLst>
        </c:ser>
        <c:ser>
          <c:idx val="10"/>
          <c:order val="10"/>
          <c:tx>
            <c:strRef>
              <c:f>Pivot_Tables!$A$31</c:f>
              <c:strCache>
                <c:ptCount val="1"/>
                <c:pt idx="0">
                  <c:v>Pediatrics</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Pivot_Tables!$B$31:$M$31</c:f>
              <c:numCache>
                <c:formatCode>General</c:formatCode>
                <c:ptCount val="12"/>
                <c:pt idx="0">
                  <c:v>85482.390000000014</c:v>
                </c:pt>
                <c:pt idx="1">
                  <c:v>77286.239999999991</c:v>
                </c:pt>
                <c:pt idx="2">
                  <c:v>126256.84999999999</c:v>
                </c:pt>
                <c:pt idx="3">
                  <c:v>40680.29</c:v>
                </c:pt>
                <c:pt idx="4">
                  <c:v>135933.74</c:v>
                </c:pt>
                <c:pt idx="5">
                  <c:v>33482.67</c:v>
                </c:pt>
                <c:pt idx="6">
                  <c:v>153104.87</c:v>
                </c:pt>
                <c:pt idx="7">
                  <c:v>76679.05</c:v>
                </c:pt>
                <c:pt idx="8">
                  <c:v>48732.76</c:v>
                </c:pt>
                <c:pt idx="9">
                  <c:v>18849.89</c:v>
                </c:pt>
                <c:pt idx="10">
                  <c:v>4007.55</c:v>
                </c:pt>
                <c:pt idx="11">
                  <c:v>5651.76</c:v>
                </c:pt>
              </c:numCache>
            </c:numRef>
          </c:val>
          <c:extLst>
            <c:ext xmlns:c16="http://schemas.microsoft.com/office/drawing/2014/chart" uri="{C3380CC4-5D6E-409C-BE32-E72D297353CC}">
              <c16:uniqueId val="{0000000A-FD77-4D9F-B21F-79AA204BFFEA}"/>
            </c:ext>
          </c:extLst>
        </c:ser>
        <c:ser>
          <c:idx val="11"/>
          <c:order val="11"/>
          <c:tx>
            <c:strRef>
              <c:f>Pivot_Tables!$A$32</c:f>
              <c:strCache>
                <c:ptCount val="1"/>
                <c:pt idx="0">
                  <c:v>Psychiatry</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extLst>
                <c:ext xmlns:c15="http://schemas.microsoft.com/office/drawing/2012/chart" uri="{02D57815-91ED-43cb-92C2-25804820EDAC}">
                  <c15:fullRef>
                    <c15:sqref>Pivot_Tables!$B$19:$M$20</c15:sqref>
                  </c15:fullRef>
                  <c15:levelRef>
                    <c15:sqref>Pivot_Tables!$B$20:$M$20</c15:sqref>
                  </c15:levelRef>
                </c:ext>
              </c:extLst>
              <c:f>Pivot_Tables!$B$20:$M$20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Pivot_Tables!$B$32:$M$32</c:f>
              <c:numCache>
                <c:formatCode>General</c:formatCode>
                <c:ptCount val="12"/>
                <c:pt idx="0">
                  <c:v>97477.610000000015</c:v>
                </c:pt>
                <c:pt idx="1">
                  <c:v>66133.72</c:v>
                </c:pt>
                <c:pt idx="3">
                  <c:v>44697.979999999996</c:v>
                </c:pt>
                <c:pt idx="4">
                  <c:v>36677.15</c:v>
                </c:pt>
                <c:pt idx="5">
                  <c:v>178997.8</c:v>
                </c:pt>
                <c:pt idx="6">
                  <c:v>43124.4</c:v>
                </c:pt>
                <c:pt idx="7">
                  <c:v>69383.59</c:v>
                </c:pt>
                <c:pt idx="8">
                  <c:v>143460.35999999999</c:v>
                </c:pt>
                <c:pt idx="9">
                  <c:v>65239.25</c:v>
                </c:pt>
                <c:pt idx="10">
                  <c:v>94083.349999999991</c:v>
                </c:pt>
                <c:pt idx="11">
                  <c:v>29044.13</c:v>
                </c:pt>
              </c:numCache>
            </c:numRef>
          </c:val>
          <c:extLst>
            <c:ext xmlns:c16="http://schemas.microsoft.com/office/drawing/2014/chart" uri="{C3380CC4-5D6E-409C-BE32-E72D297353CC}">
              <c16:uniqueId val="{0000000B-FD77-4D9F-B21F-79AA204BFFEA}"/>
            </c:ext>
          </c:extLst>
        </c:ser>
        <c:dLbls>
          <c:showLegendKey val="0"/>
          <c:showVal val="0"/>
          <c:showCatName val="0"/>
          <c:showSerName val="0"/>
          <c:showPercent val="0"/>
          <c:showBubbleSize val="0"/>
        </c:dLbls>
        <c:gapWidth val="100"/>
        <c:overlap val="-24"/>
        <c:axId val="524081744"/>
        <c:axId val="524083824"/>
      </c:barChart>
      <c:catAx>
        <c:axId val="524081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083824"/>
        <c:crosses val="autoZero"/>
        <c:auto val="1"/>
        <c:lblAlgn val="ctr"/>
        <c:lblOffset val="100"/>
        <c:noMultiLvlLbl val="0"/>
      </c:catAx>
      <c:valAx>
        <c:axId val="524083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40817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19</xdr:col>
      <xdr:colOff>283723</xdr:colOff>
      <xdr:row>19</xdr:row>
      <xdr:rowOff>94575</xdr:rowOff>
    </xdr:from>
    <xdr:to>
      <xdr:col>24</xdr:col>
      <xdr:colOff>753631</xdr:colOff>
      <xdr:row>33</xdr:row>
      <xdr:rowOff>167516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565728</xdr:colOff>
      <xdr:row>0</xdr:row>
      <xdr:rowOff>173181</xdr:rowOff>
    </xdr:from>
    <xdr:to>
      <xdr:col>13</xdr:col>
      <xdr:colOff>285613</xdr:colOff>
      <xdr:row>14</xdr:row>
      <xdr:rowOff>36324</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79690" y="173181"/>
              <a:ext cx="1840546" cy="2415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150091</xdr:colOff>
      <xdr:row>0</xdr:row>
      <xdr:rowOff>150091</xdr:rowOff>
    </xdr:from>
    <xdr:to>
      <xdr:col>10</xdr:col>
      <xdr:colOff>494569</xdr:colOff>
      <xdr:row>14</xdr:row>
      <xdr:rowOff>13232</xdr:rowOff>
    </xdr:to>
    <mc:AlternateContent xmlns:mc="http://schemas.openxmlformats.org/markup-compatibility/2006" xmlns:a14="http://schemas.microsoft.com/office/drawing/2010/main">
      <mc:Choice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78393" y="150091"/>
              <a:ext cx="1830138" cy="2415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389780</xdr:colOff>
      <xdr:row>10</xdr:row>
      <xdr:rowOff>227347</xdr:rowOff>
    </xdr:from>
    <xdr:to>
      <xdr:col>12</xdr:col>
      <xdr:colOff>862346</xdr:colOff>
      <xdr:row>20</xdr:row>
      <xdr:rowOff>101914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1089691</xdr:colOff>
      <xdr:row>3</xdr:row>
      <xdr:rowOff>42961</xdr:rowOff>
    </xdr:from>
    <xdr:to>
      <xdr:col>5</xdr:col>
      <xdr:colOff>760431</xdr:colOff>
      <xdr:row>10</xdr:row>
      <xdr:rowOff>171618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848968</xdr:colOff>
      <xdr:row>3</xdr:row>
      <xdr:rowOff>34510</xdr:rowOff>
    </xdr:from>
    <xdr:to>
      <xdr:col>8</xdr:col>
      <xdr:colOff>434836</xdr:colOff>
      <xdr:row>10</xdr:row>
      <xdr:rowOff>158749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510759</xdr:colOff>
      <xdr:row>3</xdr:row>
      <xdr:rowOff>20706</xdr:rowOff>
    </xdr:from>
    <xdr:to>
      <xdr:col>10</xdr:col>
      <xdr:colOff>1003457</xdr:colOff>
      <xdr:row>10</xdr:row>
      <xdr:rowOff>124239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308162</xdr:colOff>
      <xdr:row>11</xdr:row>
      <xdr:rowOff>3656</xdr:rowOff>
    </xdr:from>
    <xdr:to>
      <xdr:col>8</xdr:col>
      <xdr:colOff>205441</xdr:colOff>
      <xdr:row>20</xdr:row>
      <xdr:rowOff>109754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382292</xdr:rowOff>
    </xdr:from>
    <xdr:to>
      <xdr:col>1</xdr:col>
      <xdr:colOff>1010747</xdr:colOff>
      <xdr:row>11</xdr:row>
      <xdr:rowOff>97228</xdr:rowOff>
    </xdr:to>
    <mc:AlternateContent xmlns:mc="http://schemas.openxmlformats.org/markup-compatibility/2006" xmlns:a14="http://schemas.microsoft.com/office/drawing/2010/main">
      <mc:Choice Requires="a14">
        <xdr:graphicFrame macro="">
          <xdr:nvGraphicFramePr>
            <xdr:cNvPr id="7"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382292"/>
              <a:ext cx="2037722" cy="229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115748</xdr:rowOff>
    </xdr:from>
    <xdr:to>
      <xdr:col>1</xdr:col>
      <xdr:colOff>1015685</xdr:colOff>
      <xdr:row>20</xdr:row>
      <xdr:rowOff>193941</xdr:rowOff>
    </xdr:to>
    <mc:AlternateContent xmlns:mc="http://schemas.openxmlformats.org/markup-compatibility/2006" xmlns:a14="http://schemas.microsoft.com/office/drawing/2010/main">
      <mc:Choice Requires="a14">
        <xdr:graphicFrame macro="">
          <xdr:nvGraphicFramePr>
            <xdr:cNvPr id="8"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2694946"/>
              <a:ext cx="2042660" cy="226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ster" refreshedDate="46214.428007523151" createdVersion="6" refreshedVersion="6" minRefreshableVersion="3" recordCount="540">
  <cacheSource type="worksheet">
    <worksheetSource name="Table1_3"/>
  </cacheSource>
  <cacheFields count="23">
    <cacheField name="Patient_ID" numFmtId="0">
      <sharedItems/>
    </cacheField>
    <cacheField name="Patient_Name" numFmtId="0">
      <sharedItems count="473">
        <s v="Davis Vivaan"/>
        <s v="Saanvi Ali"/>
        <s v="Aditya Jones"/>
        <s v="Martinez Sara"/>
        <s v="Liu Mary"/>
        <s v="Maria Wang"/>
        <s v="Li Verma"/>
        <s v="Mateo Williams"/>
        <s v="Gonzalez Arjun"/>
        <s v="Reyansh Garcia"/>
        <s v="Aadhya Suzuki"/>
        <s v="Hiroshi Smith"/>
        <s v="Mary Iyer"/>
        <s v="Noor Perez"/>
        <s v="Linda Davis"/>
        <s v="Zhang Aditya"/>
        <s v="Juan Reddy"/>
        <s v="Michael Verma"/>
        <s v="Diego Williams"/>
        <s v="Noor Sanchez"/>
        <s v="Mateo Garcia"/>
        <s v="Camila Reddy"/>
        <s v="Wei Hussain"/>
        <s v="Susan Khan"/>
        <s v="Li Jones"/>
        <s v="Chen Robert"/>
        <s v="Jose Nair"/>
        <s v="Arjun Ramirez"/>
        <s v="Carlos Ibrahim"/>
        <s v="Robert Wang"/>
        <s v="Barbara Verma"/>
        <s v="Aadhya Lopez"/>
        <s v="Omar Rodriguez"/>
        <s v="Aarav Sanchez"/>
        <s v="Noor Jones"/>
        <s v="Layla Lopez"/>
        <s v="Barbara Nair"/>
        <s v="Hiroshi Hussain"/>
        <s v="John Miller"/>
        <s v="Li Nair"/>
        <s v="Lopez Wei"/>
        <s v="Wei Zhang"/>
        <s v="Aditya Iyer"/>
        <s v="Ana Rodriguez"/>
        <s v="Vihaan Wilson"/>
        <s v="Mary Davis"/>
        <s v="Aditya Ramirez"/>
        <s v="Mateo Jones"/>
        <s v="Flores John"/>
        <s v="Valentina Mehta"/>
        <s v="Hiroshi Reddy"/>
        <s v="Susan Singh"/>
        <s v="Ishaan Iyer"/>
        <s v="Omar Reddy"/>
        <s v="Aadhya Rodriguez"/>
        <s v="Noor Ramirez"/>
        <s v="Linda Chen"/>
        <s v="Diego Patel"/>
        <s v="Vivaan Torres"/>
        <s v="Aadhya Tanaka"/>
        <s v="Ming Nair"/>
        <s v="Krishna Tanaka"/>
        <s v="John Smith"/>
        <s v="Camila Zhang"/>
        <s v="Carlos Chen"/>
        <s v="Valentina Gupta"/>
        <s v="James Liu"/>
        <s v="Maria Suzuki"/>
        <s v="Ishaan Kumar"/>
        <s v="Barbara Flores"/>
        <s v="Krishna Miller"/>
        <s v="James Garcia"/>
        <s v="Ishaan Martinez"/>
        <s v="Zhang Noor"/>
        <s v="Camila Ramirez"/>
        <s v="Kiara Gonzalez"/>
        <s v="Hiroshi Davis"/>
        <s v="Sara Patel"/>
        <s v="Noor Wilson"/>
        <s v="Juan Johnson"/>
        <s v="Ahmed Kumar"/>
        <s v="Hiroshi Wilson"/>
        <s v="Camila Sanchez"/>
        <s v="John Chen"/>
        <s v="Ahmed Chen"/>
        <s v="Riya Rodriguez"/>
        <s v="Reyansh Suzuki"/>
        <s v="Noor Chen"/>
        <s v="Maria Ramirez"/>
        <s v="Kiara Wilson"/>
        <s v="Maria Miller"/>
        <s v="Fatima Smith"/>
        <s v="Mary Hernandez"/>
        <s v="Sofia Johnson"/>
        <s v="Barbara Davis"/>
        <s v="Valentina Torres"/>
        <s v="Arjun Gupta"/>
        <s v="David Nair"/>
        <s v="Diya Nair"/>
        <s v="Wilson Ming"/>
        <s v="John Khan"/>
        <s v="James Singh"/>
        <s v="Layla Brown"/>
        <s v="Ishaan Verma"/>
        <s v="Li Johnson"/>
        <s v="Noor Lopez"/>
        <s v="Hiroshi Miller"/>
        <s v="Juan Smith"/>
        <s v="Mateo Suzuki"/>
        <s v="Layla Suzuki"/>
        <s v="Ishaan Tanaka"/>
        <s v="Riya Khan"/>
        <s v="Li Torres"/>
        <s v="Juan Hernandez"/>
        <s v="Anderson Krishna"/>
        <s v="Camila Garcia"/>
        <s v="Sofia Nair"/>
        <s v="Robert Sharma"/>
        <s v="Linda Wilson"/>
        <s v="Ananya Anderson"/>
        <s v="Pari Anderson"/>
        <s v="Ahmed Zhang"/>
        <s v="Arjun Rodriguez"/>
        <s v="Barbara Ibrahim"/>
        <s v="Sai Reddy"/>
        <s v="Kiara Iyer"/>
        <s v="Robert Zhang"/>
        <s v="Pari Hernandez"/>
        <s v="Ming Wilson"/>
        <s v="Juan Ali"/>
        <s v="Diego Miller"/>
        <s v="Reyansh Sanchez"/>
        <s v="Arjun Sanchez"/>
        <s v="Pari Ibrahim"/>
        <s v="Reyansh Brown"/>
        <s v="Ahmed Patel"/>
        <s v="David Brown"/>
        <s v="Mary Hussain"/>
        <s v="Diya Hussain"/>
        <s v="Pari Wilson"/>
        <s v="Sara Johnson"/>
        <s v="Anika Sanchez"/>
        <s v="Layla Jones"/>
        <s v="Jose Suzuki"/>
        <s v="Juan Sanchez"/>
        <s v="Michael Hussain"/>
        <s v="Maria Jones"/>
        <s v="Saanvi Patel"/>
        <s v="Verma Reyansh"/>
        <s v="Mary Rodriguez"/>
        <s v="Sofia Gupta"/>
        <s v="Diego Kumar"/>
        <s v="Saanvi Ibrahim"/>
        <s v="Ahmed Reddy"/>
        <s v="Vivaan Wang"/>
        <s v="James Patel"/>
        <s v="Ming Suzuki"/>
        <s v="Aadhya Jones"/>
        <s v="Linda Tanaka"/>
        <s v="Maria Anderson"/>
        <s v="Anika Rodriguez"/>
        <s v="Kiara Khan"/>
        <s v="Patricia Sanchez"/>
        <s v="Krishna Flores"/>
        <s v="Omar Anderson"/>
        <s v="Saanvi Nair"/>
        <s v="Juan Sharma"/>
        <s v="Fatima Hernandez"/>
        <s v="Reyansh Johnson"/>
        <s v="Sai Liu"/>
        <s v="Barbara Johnson"/>
        <s v="Michael Perez"/>
        <s v="Chen Li"/>
        <s v="Aarav Singh"/>
        <s v="Anika Sharma"/>
        <s v="Diya Wang"/>
        <s v="Krishna Reddy"/>
        <s v="John Martinez"/>
        <s v="Valentina Rodriguez"/>
        <s v="Barbara Reddy"/>
        <s v="Barbara Jones"/>
        <s v="Myra Sharma"/>
        <s v="Yuki Rodriguez"/>
        <s v="Ana Chen"/>
        <s v="Myra Martinez"/>
        <s v="Sai Wilson"/>
        <s v="Reyansh Williams"/>
        <s v="Sofia Ali"/>
        <s v="Ming Verma"/>
        <s v="Noor Smith"/>
        <s v="Susan Gupta"/>
        <s v="Layla Sharma"/>
        <s v="Anika Khan"/>
        <s v="Layla Reddy"/>
        <s v="David Suzuki"/>
        <s v="Wei Torres"/>
        <s v="Layla Gonzalez"/>
        <s v="Diego Martinez"/>
        <s v="Juan Hussain"/>
        <s v="Myra Garcia"/>
        <s v="Noor Zhang"/>
        <s v="Suzuki Sara"/>
        <s v="Reyansh Chen"/>
        <s v="Reyansh Davis"/>
        <s v="Carlos Reddy"/>
        <s v="Sai Tanaka"/>
        <s v="James Ramirez"/>
        <s v="Noor Mehta"/>
        <s v="Krishna Rodriguez"/>
        <s v="Krishna Zhang"/>
        <s v="Maria Tanaka"/>
        <s v="Juan Flores"/>
        <s v="Hiroshi Brown"/>
        <s v="Ayaan Suzuki"/>
        <s v="Layla Martinez"/>
        <s v="Robert Williams"/>
        <s v="Li Perez"/>
        <s v="Jose Ali"/>
        <s v="Fatima Miller"/>
        <s v="Ming Martinez"/>
        <s v="Yuki Sanchez"/>
        <s v="Ming Ali"/>
        <s v="Layla Verma"/>
        <s v="Riya Sharma"/>
        <s v="Riya Williams"/>
        <s v="Susan Martinez"/>
        <s v="Davis Fatima"/>
        <s v="Diya Iyer"/>
        <s v="Patricia Anderson"/>
        <s v="Wei Iyer"/>
        <s v="Li Chen"/>
        <s v="Aditya Martinez"/>
        <s v="Sai Nair"/>
        <s v="Kiara Hussain"/>
        <s v="Sara Flores"/>
        <s v="Juan Torres"/>
        <s v="Flores Ananya"/>
        <s v="Yuki Wang"/>
        <s v="Robert Johnson"/>
        <s v="Ishaan Sharma"/>
        <s v="Ana Torres"/>
        <s v="Omar Hussain"/>
        <s v="James Suzuki"/>
        <s v="Jose Kumar"/>
        <s v="Omar Sharma"/>
        <s v="Riya Patel"/>
        <s v="Robert Liu"/>
        <s v="Susan Gonzalez"/>
        <s v="Diego Perez"/>
        <s v="Ming Lopez"/>
        <s v="Riya Hernandez"/>
        <s v="Aditya Wang"/>
        <s v="Mary Lopez"/>
        <s v="Linda Flores"/>
        <s v="Ahmed Johnson"/>
        <s v="Myra Johnson"/>
        <s v="David Wang"/>
        <s v="David Hernandez"/>
        <s v="Maria Iyer"/>
        <s v="Krishna Chen"/>
        <s v="Vivaan Hernandez"/>
        <s v="Sai Anderson"/>
        <s v="Jose Gupta"/>
        <s v="Patricia Williams"/>
        <s v="Aditya Gupta"/>
        <s v="Ayaan Lopez"/>
        <s v="Vivaan Wilson"/>
        <s v="Juan Perez"/>
        <s v="Ananya Mehta"/>
        <s v="Ishaan Ibrahim"/>
        <s v="Fatima Nair"/>
        <s v="John Torres"/>
        <s v="Barbara Wilson"/>
        <s v="Susan Sanchez"/>
        <s v="Maria Wilson"/>
        <s v="Diego Sanchez"/>
        <s v="Camila Johnson"/>
        <s v="Reddy Saanvi"/>
        <s v="Nair Valentina"/>
        <s v="Wei Nair"/>
        <s v="David Tanaka"/>
        <s v="Arjun Liu"/>
        <s v="Camila Ibrahim"/>
        <s v="Hiroshi Hernandez"/>
        <s v="Camila Anderson"/>
        <s v="Ana Zhang"/>
        <s v="Omar Singh"/>
        <s v="Omar Wang"/>
        <s v="Carlos Perez"/>
        <s v="Patricia Chen"/>
        <s v="Diya Smith"/>
        <s v="Iyer Diego"/>
        <s v="Myra Ramirez"/>
        <s v="Pari Miller"/>
        <s v="Susan Verma"/>
        <s v="Valentina Iyer"/>
        <s v="Mary Flores"/>
        <s v="Aadhya Wilson"/>
        <s v="Linda Torres"/>
        <s v="Ananya Miller"/>
        <s v="Myra Perez"/>
        <s v="Li Gupta"/>
        <s v="Aarav Perez"/>
        <s v="Sai Ibrahim"/>
        <s v="Sai Suzuki"/>
        <s v="Robert Lopez"/>
        <s v="Ming Mehta"/>
        <s v="Sai Lopez"/>
        <s v="Jose Ibrahim"/>
        <s v="Yuki Verma"/>
        <s v="Juan Williams"/>
        <s v="Vivaan Hussain"/>
        <s v="Hernandez Ana"/>
        <s v="Anika Ramirez"/>
        <s v="Saanvi Torres"/>
        <s v="Linda Nair"/>
        <s v="Noor Reddy"/>
        <s v="Sharma Camila"/>
        <s v="Hiroshi Liu"/>
        <s v="Patricia Suzuki"/>
        <s v="Yuki Ramirez"/>
        <s v="Valentina Ramirez"/>
        <s v="Sai Patel"/>
        <s v="Sofia Ibrahim"/>
        <s v="Maria Singh"/>
        <s v="Vivaan Davis"/>
        <s v="Reyansh Rodriguez"/>
        <s v="Patel Ayaan"/>
        <s v="Vihaan Lopez"/>
        <s v="Ming Chen"/>
        <s v="Ahmed Gonzalez"/>
        <s v="Noor Miller"/>
        <s v="Aarav Suzuki"/>
        <s v="Barbara Patel"/>
        <s v="Linda Gonzalez"/>
        <s v="Arjun Wang"/>
        <s v="Valentina Wang"/>
        <s v="Noor Ali"/>
        <s v="Ming Ramirez"/>
        <s v="Gupta Omar"/>
        <s v="Linda Hussain"/>
        <s v="Myra Anderson"/>
        <s v="Krishna Anderson"/>
        <s v="Layla Torres"/>
        <s v="Wilson Robert"/>
        <s v="Linda Lopez"/>
        <s v="Riya Ibrahim"/>
        <s v="Carlos Rodriguez"/>
        <s v="Juan Ibrahim"/>
        <s v="Saanvi Verma"/>
        <s v="Reyansh Smith"/>
        <s v="Arjun Davis"/>
        <s v="Michael Johnson"/>
        <s v="Linda Garcia"/>
        <s v="Diya Patel"/>
        <s v="Carlos Williams"/>
        <s v="Susan Anderson"/>
        <s v="Robert Hernandez"/>
        <s v="Wei Gupta"/>
        <s v="Sai Perez"/>
        <s v="Aarav Smith"/>
        <s v="Ananya Williams"/>
        <s v="Aarav Ramirez"/>
        <s v="Jose Williams"/>
        <s v="Wei Reddy"/>
        <s v="Linda Verma"/>
        <s v="Sofia Tanaka"/>
        <s v="Diego Suzuki"/>
        <s v="Omar Patel"/>
        <s v="Robert Ali"/>
        <s v="Robert Singh"/>
        <s v="Maria Ali"/>
        <s v="Ananya Sharma"/>
        <s v="Ming Torres"/>
        <s v="Sara Sharma"/>
        <s v="Vihaan Singh"/>
        <s v="Valentina Perez"/>
        <s v="Ayaan Wilson"/>
        <s v="Maria Gupta"/>
        <s v="Mary Zhang"/>
        <s v="Jose Hussain"/>
        <s v="Ana Iyer"/>
        <s v="Li Singh"/>
        <s v="Mehta Carlos"/>
        <s v="Kiara Nair"/>
        <s v="James Wang"/>
        <s v="Sofia Hussain"/>
        <s v="Linda Kumar"/>
        <s v="Mateo Gonzalez"/>
        <s v="Saanvi Jones"/>
        <s v="Patricia Flores"/>
        <s v="Vivaan Anderson"/>
        <s v="Sara Rodriguez"/>
        <s v="Ayaan Hernandez"/>
        <s v="Riya Zhang"/>
        <s v="Camila Iyer"/>
        <s v="Layla Smith"/>
        <s v="Vihaan Jones"/>
        <s v="Saanvi Rodriguez"/>
        <s v="Mary Gonzalez"/>
        <s v="Sofia Jones"/>
        <s v="Noor Torres"/>
        <s v="Myra Lopez"/>
        <s v="Ana Gupta"/>
        <s v="Sai Johnson"/>
        <s v="Camila Tanaka"/>
        <s v="Jose Miller"/>
        <s v="Omar Flores"/>
        <s v="Hiroshi Torres"/>
        <s v="Krishna Gonzalez"/>
        <s v="Ayaan Reddy"/>
        <s v="Saanvi Johnson"/>
        <s v="Ishaan Brown"/>
        <s v="Diya Miller"/>
        <s v="James Kumar"/>
        <s v="Aarav Chen"/>
        <s v="John Williams"/>
        <s v="Hiroshi Gupta"/>
        <s v="Ayaan Liu"/>
        <s v="Myra Wang"/>
        <s v="Lopez John"/>
        <s v="Omar Perez"/>
        <s v="Reyansh Patel"/>
        <s v="Davis Reyansh"/>
        <s v="Valentina Anderson"/>
        <s v="Wei Ramirez"/>
        <s v="Myra Liu"/>
        <s v="Valentina Singh"/>
        <s v="Li Anderson"/>
        <s v="Carlos Tanaka"/>
        <s v="Ananya Tanaka"/>
        <s v="Omar Gonzalez"/>
        <s v="Pari Brown"/>
        <s v="Pari Smith"/>
        <s v="Maria Sanchez"/>
        <s v="David Ramirez"/>
        <s v="Patricia Kumar"/>
        <s v="Li Williams"/>
        <s v="Vivaan Jones"/>
        <s v="Michael Khan"/>
        <s v="Gonzalez Li"/>
        <s v="Maria Garcia"/>
        <s v="Yuki Patel"/>
        <s v="Yuki Ibrahim"/>
        <s v="Myra Torres"/>
        <s v="John Kumar"/>
        <s v="Myra Miller"/>
        <s v="Jose Mehta"/>
        <s v="John Nair"/>
        <s v="Layla Miller"/>
        <s v="Patricia Hussain"/>
        <s v="Reyansh Jones"/>
        <s v="Anika Smith"/>
        <s v="Ahmed Ali"/>
        <s v="Valentina Gonzalez"/>
        <s v="Wei Mehta"/>
        <s v="Omar Garcia"/>
        <s v="Susan Chen"/>
        <s v="Barbara Ali"/>
        <s v="Vivaan Tanaka"/>
        <s v="Diego Garcia"/>
        <s v="Sai Kumar"/>
        <s v="Reyansh Miller"/>
        <s v="Vivaan Suzuki"/>
        <s v="Anika Patel"/>
        <s v="Fatima Singh"/>
        <s v="Krishna Smith"/>
        <s v="Anika Zhang"/>
        <s v="Hiroshi Ramirez"/>
        <s v="Vihaan Iyer"/>
        <s v="Carlos Davis"/>
        <s v="James Johnson"/>
        <s v="Carlos Patel"/>
      </sharedItems>
    </cacheField>
    <cacheField name="Age" numFmtId="0">
      <sharedItems containsMixedTypes="1" containsNumber="1" containsInteger="1" minValue="1" maxValue="95"/>
    </cacheField>
    <cacheField name="Gender" numFmtId="0">
      <sharedItems count="3">
        <s v="Male"/>
        <s v="Female"/>
        <s v="Other"/>
      </sharedItems>
    </cacheField>
    <cacheField name="City" numFmtId="0">
      <sharedItems count="16">
        <s v="Hyderabad"/>
        <s v="Bengaluru"/>
        <s v="Delhi"/>
        <s v="Chennai"/>
        <s v="Kolkata"/>
        <s v="Ahmedabad"/>
        <s v="Sydney"/>
        <s v="Pune"/>
        <s v="Jaipur"/>
        <s v="Mumbai"/>
        <s v="Chicago"/>
        <s v="Toronto"/>
        <s v="Houston"/>
        <s v="Los Angeles"/>
        <s v="New York"/>
        <s v="London"/>
      </sharedItems>
    </cacheField>
    <cacheField name="Blood_Group" numFmtId="0">
      <sharedItems/>
    </cacheField>
    <cacheField name="Diagnosis" numFmtId="0">
      <sharedItems count="20">
        <s v="Anxiety"/>
        <s v="Diabetes"/>
        <s v="Migraine"/>
        <s v="Covid19"/>
        <s v="Diabetes Type 2"/>
        <s v="Chronic Kidney Disease"/>
        <s v="Heart Disease"/>
        <s v="Tuberculosis"/>
        <s v="Arthritis"/>
        <s v="Pneumonia"/>
        <s v="Allergy"/>
        <s v="Thyroid Disorder"/>
        <s v="Depression"/>
        <s v="Hypothyroidism"/>
        <s v="Obesity"/>
        <s v="Unknown"/>
        <s v="Asthma"/>
        <s v="Bronchitis"/>
        <s v="Hypertension"/>
        <s v="Anemia"/>
      </sharedItems>
    </cacheField>
    <cacheField name="Height_cm" numFmtId="0">
      <sharedItems containsMixedTypes="1" containsNumber="1" minValue="145" maxValue="195"/>
    </cacheField>
    <cacheField name="Weight_kg" numFmtId="0">
      <sharedItems containsMixedTypes="1" containsNumber="1" minValue="40" maxValue="130"/>
    </cacheField>
    <cacheField name="Smoking_Status" numFmtId="0">
      <sharedItems/>
    </cacheField>
    <cacheField name="Has_Insurance" numFmtId="0">
      <sharedItems/>
    </cacheField>
    <cacheField name="Department" numFmtId="0">
      <sharedItems count="12">
        <s v="Gastroenterology"/>
        <s v="General Medicine"/>
        <s v="Dermatology"/>
        <s v="Cardiology"/>
        <s v="Endocrinology"/>
        <s v="Pediatrics"/>
        <s v="Ent"/>
        <s v="Nephrology"/>
        <s v="Psychiatry"/>
        <s v="Neurology"/>
        <s v="Orthopedics"/>
        <s v="Oncology"/>
      </sharedItems>
    </cacheField>
    <cacheField name="Admission_Date" numFmtId="14">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fieldGroup base="12">
        <rangePr groupBy="months" startDate="2021-01-06T00:00:00" endDate="2023-12-16T00:00:00"/>
        <groupItems count="14">
          <s v="&lt;1/6/2021"/>
          <s v="Jan"/>
          <s v="Feb"/>
          <s v="Mar"/>
          <s v="Apr"/>
          <s v="May"/>
          <s v="Jun"/>
          <s v="Jul"/>
          <s v="Aug"/>
          <s v="Sep"/>
          <s v="Oct"/>
          <s v="Nov"/>
          <s v="Dec"/>
          <s v="&gt;12/16/2023"/>
        </groupItems>
      </fieldGroup>
    </cacheField>
    <cacheField name="Year" numFmtId="164">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fieldGroup par="22" base="13">
        <rangePr groupBy="months" startDate="2021-01-06T00:00:00" endDate="2023-12-16T00:00:00"/>
        <groupItems count="14">
          <s v="&lt;1/6/2021"/>
          <s v="Jan"/>
          <s v="Feb"/>
          <s v="Mar"/>
          <s v="Apr"/>
          <s v="May"/>
          <s v="Jun"/>
          <s v="Jul"/>
          <s v="Aug"/>
          <s v="Sep"/>
          <s v="Oct"/>
          <s v="Nov"/>
          <s v="Dec"/>
          <s v="&gt;12/16/2023"/>
        </groupItems>
      </fieldGroup>
    </cacheField>
    <cacheField name="Column1" numFmtId="165">
      <sharedItems containsSemiMixedTypes="0" containsNonDate="0" containsDate="1" containsString="0" minDate="2021-01-06T00:00:00" maxDate="2023-12-16T00:00:00" count="439">
        <d v="2023-05-10T00:00:00"/>
        <d v="2022-08-24T00:00:00"/>
        <d v="2021-05-27T00:00:00"/>
        <d v="2022-05-21T00:00:00"/>
        <d v="2021-01-24T00:00:00"/>
        <d v="2021-11-27T00:00:00"/>
        <d v="2021-05-12T00:00:00"/>
        <d v="2021-05-26T00:00:00"/>
        <d v="2021-04-21T00:00:00"/>
        <d v="2021-01-31T00:00:00"/>
        <d v="2021-05-05T00:00:00"/>
        <d v="2023-07-12T00:00:00"/>
        <d v="2021-05-21T00:00:00"/>
        <d v="2022-06-25T00:00:00"/>
        <d v="2023-01-27T00:00:00"/>
        <d v="2022-12-11T00:00:00"/>
        <d v="2021-05-23T00:00:00"/>
        <d v="2022-06-06T00:00:00"/>
        <d v="2021-09-18T00:00:00"/>
        <d v="2021-12-14T00:00:00"/>
        <d v="2023-10-10T00:00:00"/>
        <d v="2023-10-31T00:00:00"/>
        <d v="2023-02-24T00:00:00"/>
        <d v="2023-10-03T00:00:00"/>
        <d v="2021-02-25T00:00:00"/>
        <d v="2021-03-05T00:00:00"/>
        <d v="2022-01-10T00:00:00"/>
        <d v="2022-11-30T00:00:00"/>
        <d v="2021-06-27T00:00:00"/>
        <d v="2023-04-13T00:00:00"/>
        <d v="2022-01-30T00:00:00"/>
        <d v="2022-08-22T00:00:00"/>
        <d v="2022-08-31T00:00:00"/>
        <d v="2022-09-15T00:00:00"/>
        <d v="2021-11-18T00:00:00"/>
        <d v="2021-05-03T00:00:00"/>
        <d v="2021-02-12T00:00:00"/>
        <d v="2022-08-14T00:00:00"/>
        <d v="2021-04-16T00:00:00"/>
        <d v="2021-12-11T00:00:00"/>
        <d v="2022-04-09T00:00:00"/>
        <d v="2023-02-20T00:00:00"/>
        <d v="2022-06-27T00:00:00"/>
        <d v="2021-07-25T00:00:00"/>
        <d v="2022-05-06T00:00:00"/>
        <d v="2023-06-01T00:00:00"/>
        <d v="2021-10-08T00:00:00"/>
        <d v="2022-08-28T00:00:00"/>
        <d v="2023-01-31T00:00:00"/>
        <d v="2023-07-19T00:00:00"/>
        <d v="2023-05-01T00:00:00"/>
        <d v="2021-03-09T00:00:00"/>
        <d v="2022-04-23T00:00:00"/>
        <d v="2023-05-13T00:00:00"/>
        <d v="2023-06-28T00:00:00"/>
        <d v="2021-05-08T00:00:00"/>
        <d v="2022-04-13T00:00:00"/>
        <d v="2022-11-07T00:00:00"/>
        <d v="2023-05-29T00:00:00"/>
        <d v="2023-01-04T00:00:00"/>
        <d v="2023-06-27T00:00:00"/>
        <d v="2021-09-10T00:00:00"/>
        <d v="2023-05-30T00:00:00"/>
        <d v="2022-11-14T00:00:00"/>
        <d v="2023-07-09T00:00:00"/>
        <d v="2021-04-07T00:00:00"/>
        <d v="2021-03-22T00:00:00"/>
        <d v="2021-04-11T00:00:00"/>
        <d v="2022-01-05T00:00:00"/>
        <d v="2021-12-06T00:00:00"/>
        <d v="2023-02-22T00:00:00"/>
        <d v="2022-03-31T00:00:00"/>
        <d v="2023-08-19T00:00:00"/>
        <d v="2021-02-03T00:00:00"/>
        <d v="2021-03-02T00:00:00"/>
        <d v="2023-07-27T00:00:00"/>
        <d v="2023-03-03T00:00:00"/>
        <d v="2022-12-21T00:00:00"/>
        <d v="2023-01-21T00:00:00"/>
        <d v="2023-04-03T00:00:00"/>
        <d v="2021-05-13T00:00:00"/>
        <d v="2022-09-26T00:00:00"/>
        <d v="2022-11-23T00:00:00"/>
        <d v="2023-02-26T00:00:00"/>
        <d v="2021-10-04T00:00:00"/>
        <d v="2023-12-07T00:00:00"/>
        <d v="2023-08-29T00:00:00"/>
        <d v="2022-09-23T00:00:00"/>
        <d v="2022-02-22T00:00:00"/>
        <d v="2022-06-26T00:00:00"/>
        <d v="2021-10-27T00:00:00"/>
        <d v="2021-03-18T00:00:00"/>
        <d v="2022-07-13T00:00:00"/>
        <d v="2022-01-14T00:00:00"/>
        <d v="2021-07-05T00:00:00"/>
        <d v="2022-09-24T00:00:00"/>
        <d v="2023-02-13T00:00:00"/>
        <d v="2023-05-19T00:00:00"/>
        <d v="2023-04-04T00:00:00"/>
        <d v="2023-10-13T00:00:00"/>
        <d v="2021-02-10T00:00:00"/>
        <d v="2022-01-25T00:00:00"/>
        <d v="2022-10-18T00:00:00"/>
        <d v="2023-02-10T00:00:00"/>
        <d v="2021-01-19T00:00:00"/>
        <d v="2021-06-03T00:00:00"/>
        <d v="2021-04-20T00:00:00"/>
        <d v="2022-05-20T00:00:00"/>
        <d v="2022-12-26T00:00:00"/>
        <d v="2022-06-09T00:00:00"/>
        <d v="2022-02-16T00:00:00"/>
        <d v="2022-08-20T00:00:00"/>
        <d v="2023-01-07T00:00:00"/>
        <d v="2023-11-29T00:00:00"/>
        <d v="2023-03-09T00:00:00"/>
        <d v="2023-05-06T00:00:00"/>
        <d v="2023-07-03T00:00:00"/>
        <d v="2023-08-25T00:00:00"/>
        <d v="2022-01-16T00:00:00"/>
        <d v="2023-05-02T00:00:00"/>
        <d v="2023-06-23T00:00:00"/>
        <d v="2023-05-27T00:00:00"/>
        <d v="2021-09-17T00:00:00"/>
        <d v="2021-01-06T00:00:00"/>
        <d v="2021-07-23T00:00:00"/>
        <d v="2021-04-17T00:00:00"/>
        <d v="2023-06-26T00:00:00"/>
        <d v="2023-11-10T00:00:00"/>
        <d v="2021-05-19T00:00:00"/>
        <d v="2023-12-03T00:00:00"/>
        <d v="2021-10-09T00:00:00"/>
        <d v="2023-08-01T00:00:00"/>
        <d v="2023-05-09T00:00:00"/>
        <d v="2023-07-25T00:00:00"/>
        <d v="2021-01-20T00:00:00"/>
        <d v="2021-06-23T00:00:00"/>
        <d v="2021-08-12T00:00:00"/>
        <d v="2023-03-23T00:00:00"/>
        <d v="2021-06-22T00:00:00"/>
        <d v="2022-01-19T00:00:00"/>
        <d v="2023-10-09T00:00:00"/>
        <d v="2022-09-05T00:00:00"/>
        <d v="2022-01-21T00:00:00"/>
        <d v="2021-10-18T00:00:00"/>
        <d v="2021-12-26T00:00:00"/>
        <d v="2021-12-10T00:00:00"/>
        <d v="2023-02-15T00:00:00"/>
        <d v="2023-09-16T00:00:00"/>
        <d v="2021-08-01T00:00:00"/>
        <d v="2022-01-18T00:00:00"/>
        <d v="2021-04-22T00:00:00"/>
        <d v="2023-08-31T00:00:00"/>
        <d v="2023-06-11T00:00:00"/>
        <d v="2021-10-31T00:00:00"/>
        <d v="2022-11-13T00:00:00"/>
        <d v="2022-11-10T00:00:00"/>
        <d v="2022-01-20T00:00:00"/>
        <d v="2023-07-24T00:00:00"/>
        <d v="2021-05-07T00:00:00"/>
        <d v="2022-01-06T00:00:00"/>
        <d v="2023-09-14T00:00:00"/>
        <d v="2021-03-14T00:00:00"/>
        <d v="2022-03-05T00:00:00"/>
        <d v="2022-05-25T00:00:00"/>
        <d v="2023-04-05T00:00:00"/>
        <d v="2022-06-23T00:00:00"/>
        <d v="2021-12-16T00:00:00"/>
        <d v="2021-05-01T00:00:00"/>
        <d v="2023-12-11T00:00:00"/>
        <d v="2023-10-16T00:00:00"/>
        <d v="2023-08-27T00:00:00"/>
        <d v="2022-02-06T00:00:00"/>
        <d v="2023-09-17T00:00:00"/>
        <d v="2023-04-26T00:00:00"/>
        <d v="2022-12-23T00:00:00"/>
        <d v="2022-03-10T00:00:00"/>
        <d v="2021-02-09T00:00:00"/>
        <d v="2023-12-13T00:00:00"/>
        <d v="2023-07-02T00:00:00"/>
        <d v="2021-11-11T00:00:00"/>
        <d v="2021-05-29T00:00:00"/>
        <d v="2023-04-02T00:00:00"/>
        <d v="2023-01-17T00:00:00"/>
        <d v="2022-07-02T00:00:00"/>
        <d v="2021-03-29T00:00:00"/>
        <d v="2022-02-04T00:00:00"/>
        <d v="2023-08-09T00:00:00"/>
        <d v="2022-04-08T00:00:00"/>
        <d v="2021-03-30T00:00:00"/>
        <d v="2021-01-15T00:00:00"/>
        <d v="2021-01-22T00:00:00"/>
        <d v="2022-02-15T00:00:00"/>
        <d v="2021-08-28T00:00:00"/>
        <d v="2022-04-16T00:00:00"/>
        <d v="2022-04-26T00:00:00"/>
        <d v="2023-06-10T00:00:00"/>
        <d v="2023-11-28T00:00:00"/>
        <d v="2021-08-04T00:00:00"/>
        <d v="2021-12-24T00:00:00"/>
        <d v="2022-02-07T00:00:00"/>
        <d v="2022-10-29T00:00:00"/>
        <d v="2023-04-25T00:00:00"/>
        <d v="2022-01-22T00:00:00"/>
        <d v="2023-10-08T00:00:00"/>
        <d v="2021-08-20T00:00:00"/>
        <d v="2022-12-30T00:00:00"/>
        <d v="2023-10-01T00:00:00"/>
        <d v="2023-01-16T00:00:00"/>
        <d v="2021-08-08T00:00:00"/>
        <d v="2023-02-05T00:00:00"/>
        <d v="2022-07-10T00:00:00"/>
        <d v="2022-03-22T00:00:00"/>
        <d v="2021-06-19T00:00:00"/>
        <d v="2021-03-07T00:00:00"/>
        <d v="2021-06-25T00:00:00"/>
        <d v="2021-07-02T00:00:00"/>
        <d v="2023-09-07T00:00:00"/>
        <d v="2022-10-13T00:00:00"/>
        <d v="2022-04-18T00:00:00"/>
        <d v="2022-02-20T00:00:00"/>
        <d v="2021-10-19T00:00:00"/>
        <d v="2022-10-26T00:00:00"/>
        <d v="2021-11-04T00:00:00"/>
        <d v="2021-12-08T00:00:00"/>
        <d v="2022-08-23T00:00:00"/>
        <d v="2022-11-03T00:00:00"/>
        <d v="2023-08-30T00:00:00"/>
        <d v="2021-12-25T00:00:00"/>
        <d v="2023-07-30T00:00:00"/>
        <d v="2023-02-27T00:00:00"/>
        <d v="2023-12-08T00:00:00"/>
        <d v="2022-12-15T00:00:00"/>
        <d v="2023-02-06T00:00:00"/>
        <d v="2023-02-16T00:00:00"/>
        <d v="2022-07-12T00:00:00"/>
        <d v="2023-02-21T00:00:00"/>
        <d v="2022-02-10T00:00:00"/>
        <d v="2021-12-13T00:00:00"/>
        <d v="2022-08-12T00:00:00"/>
        <d v="2022-09-10T00:00:00"/>
        <d v="2022-04-01T00:00:00"/>
        <d v="2021-03-13T00:00:00"/>
        <d v="2023-09-29T00:00:00"/>
        <d v="2022-11-22T00:00:00"/>
        <d v="2021-03-25T00:00:00"/>
        <d v="2022-05-05T00:00:00"/>
        <d v="2021-08-19T00:00:00"/>
        <d v="2023-11-21T00:00:00"/>
        <d v="2023-09-20T00:00:00"/>
        <d v="2022-12-05T00:00:00"/>
        <d v="2022-01-04T00:00:00"/>
        <d v="2022-03-23T00:00:00"/>
        <d v="2021-05-18T00:00:00"/>
        <d v="2023-12-15T00:00:00"/>
        <d v="2021-08-18T00:00:00"/>
        <d v="2023-04-24T00:00:00"/>
        <d v="2023-07-23T00:00:00"/>
        <d v="2021-11-29T00:00:00"/>
        <d v="2023-06-25T00:00:00"/>
        <d v="2023-02-07T00:00:00"/>
        <d v="2023-09-02T00:00:00"/>
        <d v="2022-06-13T00:00:00"/>
        <d v="2022-12-31T00:00:00"/>
        <d v="2021-10-22T00:00:00"/>
        <d v="2023-03-06T00:00:00"/>
        <d v="2022-12-14T00:00:00"/>
        <d v="2021-08-25T00:00:00"/>
        <d v="2023-04-01T00:00:00"/>
        <d v="2022-11-01T00:00:00"/>
        <d v="2021-11-17T00:00:00"/>
        <d v="2023-02-01T00:00:00"/>
        <d v="2021-02-15T00:00:00"/>
        <d v="2022-05-30T00:00:00"/>
        <d v="2023-08-06T00:00:00"/>
        <d v="2022-09-28T00:00:00"/>
        <d v="2021-11-05T00:00:00"/>
        <d v="2023-05-17T00:00:00"/>
        <d v="2021-07-04T00:00:00"/>
        <d v="2023-03-11T00:00:00"/>
        <d v="2021-09-24T00:00:00"/>
        <d v="2022-04-14T00:00:00"/>
        <d v="2022-06-30T00:00:00"/>
        <d v="2021-09-30T00:00:00"/>
        <d v="2022-12-09T00:00:00"/>
        <d v="2023-09-01T00:00:00"/>
        <d v="2021-03-15T00:00:00"/>
        <d v="2023-08-11T00:00:00"/>
        <d v="2023-03-19T00:00:00"/>
        <d v="2022-03-08T00:00:00"/>
        <d v="2021-09-26T00:00:00"/>
        <d v="2021-11-14T00:00:00"/>
        <d v="2022-03-06T00:00:00"/>
        <d v="2022-01-15T00:00:00"/>
        <d v="2023-03-20T00:00:00"/>
        <d v="2021-08-27T00:00:00"/>
        <d v="2022-08-19T00:00:00"/>
        <d v="2022-01-03T00:00:00"/>
        <d v="2021-11-21T00:00:00"/>
        <d v="2023-06-16T00:00:00"/>
        <d v="2023-01-15T00:00:00"/>
        <d v="2021-04-29T00:00:00"/>
        <d v="2022-02-25T00:00:00"/>
        <d v="2023-09-30T00:00:00"/>
        <d v="2022-08-17T00:00:00"/>
        <d v="2021-02-04T00:00:00"/>
        <d v="2023-03-21T00:00:00"/>
        <d v="2023-02-09T00:00:00"/>
        <d v="2023-04-30T00:00:00"/>
        <d v="2021-08-02T00:00:00"/>
        <d v="2021-03-01T00:00:00"/>
        <d v="2021-09-09T00:00:00"/>
        <d v="2021-01-18T00:00:00"/>
        <d v="2022-05-03T00:00:00"/>
        <d v="2022-07-16T00:00:00"/>
        <d v="2021-03-31T00:00:00"/>
        <d v="2021-02-27T00:00:00"/>
        <d v="2021-10-03T00:00:00"/>
        <d v="2023-06-30T00:00:00"/>
        <d v="2021-01-08T00:00:00"/>
        <d v="2022-08-26T00:00:00"/>
        <d v="2021-08-31T00:00:00"/>
        <d v="2022-11-12T00:00:00"/>
        <d v="2021-12-30T00:00:00"/>
        <d v="2022-05-11T00:00:00"/>
        <d v="2023-03-17T00:00:00"/>
        <d v="2023-07-13T00:00:00"/>
        <d v="2022-05-12T00:00:00"/>
        <d v="2021-03-12T00:00:00"/>
        <d v="2021-01-30T00:00:00"/>
        <d v="2021-12-22T00:00:00"/>
        <d v="2022-10-27T00:00:00"/>
        <d v="2021-01-28T00:00:00"/>
        <d v="2022-07-24T00:00:00"/>
        <d v="2022-10-21T00:00:00"/>
        <d v="2022-02-09T00:00:00"/>
        <d v="2021-06-20T00:00:00"/>
        <d v="2023-06-02T00:00:00"/>
        <d v="2023-01-25T00:00:00"/>
        <d v="2021-07-09T00:00:00"/>
        <d v="2022-12-07T00:00:00"/>
        <d v="2023-10-27T00:00:00"/>
        <d v="2023-06-09T00:00:00"/>
        <d v="2023-01-30T00:00:00"/>
        <d v="2023-03-31T00:00:00"/>
        <d v="2022-05-09T00:00:00"/>
        <d v="2022-04-04T00:00:00"/>
        <d v="2023-01-24T00:00:00"/>
        <d v="2022-04-06T00:00:00"/>
        <d v="2023-01-12T00:00:00"/>
        <d v="2021-09-12T00:00:00"/>
        <d v="2022-03-17T00:00:00"/>
        <d v="2022-07-06T00:00:00"/>
        <d v="2021-02-07T00:00:00"/>
        <d v="2021-07-22T00:00:00"/>
        <d v="2023-01-08T00:00:00"/>
        <d v="2023-06-29T00:00:00"/>
        <d v="2023-09-09T00:00:00"/>
        <d v="2022-02-12T00:00:00"/>
        <d v="2021-07-31T00:00:00"/>
        <d v="2022-04-19T00:00:00"/>
        <d v="2021-04-09T00:00:00"/>
        <d v="2023-03-26T00:00:00"/>
        <d v="2023-12-12T00:00:00"/>
        <d v="2023-01-26T00:00:00"/>
        <d v="2021-01-25T00:00:00"/>
        <d v="2022-08-11T00:00:00"/>
        <d v="2022-01-07T00:00:00"/>
        <d v="2023-07-04T00:00:00"/>
        <d v="2023-08-05T00:00:00"/>
        <d v="2023-05-20T00:00:00"/>
        <d v="2021-08-07T00:00:00"/>
        <d v="2021-02-08T00:00:00"/>
        <d v="2021-09-04T00:00:00"/>
        <d v="2022-07-28T00:00:00"/>
        <d v="2022-05-10T00:00:00"/>
        <d v="2021-11-07T00:00:00"/>
        <d v="2021-11-15T00:00:00"/>
        <d v="2023-10-04T00:00:00"/>
        <d v="2023-08-03T00:00:00"/>
        <d v="2022-11-09T00:00:00"/>
        <d v="2023-06-15T00:00:00"/>
        <d v="2023-05-12T00:00:00"/>
        <d v="2021-09-01T00:00:00"/>
        <d v="2021-02-26T00:00:00"/>
        <d v="2021-02-17T00:00:00"/>
        <d v="2021-06-06T00:00:00"/>
        <d v="2022-05-18T00:00:00"/>
        <d v="2021-03-06T00:00:00"/>
        <d v="2021-10-01T00:00:00"/>
        <d v="2021-04-18T00:00:00"/>
        <d v="2021-08-09T00:00:00"/>
        <d v="2022-03-19T00:00:00"/>
        <d v="2021-05-11T00:00:00"/>
        <d v="2022-03-26T00:00:00"/>
        <d v="2022-08-13T00:00:00"/>
        <d v="2022-11-19T00:00:00"/>
        <d v="2023-10-17T00:00:00"/>
        <d v="2021-03-26T00:00:00"/>
        <d v="2022-08-27T00:00:00"/>
        <d v="2021-06-15T00:00:00"/>
        <d v="2022-02-13T00:00:00"/>
        <d v="2021-02-24T00:00:00"/>
        <d v="2021-07-19T00:00:00"/>
        <d v="2022-12-16T00:00:00"/>
        <d v="2023-11-05T00:00:00"/>
        <d v="2022-04-30T00:00:00"/>
        <d v="2022-02-14T00:00:00"/>
        <d v="2021-05-28T00:00:00"/>
        <d v="2023-11-26T00:00:00"/>
        <d v="2021-08-16T00:00:00"/>
        <d v="2021-04-04T00:00:00"/>
        <d v="2023-01-02T00:00:00"/>
        <d v="2022-08-03T00:00:00"/>
        <d v="2023-02-23T00:00:00"/>
        <d v="2021-04-27T00:00:00"/>
        <d v="2022-08-29T00:00:00"/>
        <d v="2023-06-21T00:00:00"/>
        <d v="2023-07-11T00:00:00"/>
        <d v="2021-09-14T00:00:00"/>
        <d v="2022-06-24T00:00:00"/>
        <d v="2022-06-10T00:00:00"/>
        <d v="2022-04-02T00:00:00"/>
        <d v="2022-05-19T00:00:00"/>
        <d v="2022-03-04T00:00:00"/>
        <d v="2022-12-08T00:00:00"/>
        <d v="2023-04-18T00:00:00"/>
        <d v="2021-08-14T00:00:00"/>
        <d v="2022-04-15T00:00:00"/>
        <d v="2021-11-09T00:00:00"/>
        <d v="2023-03-18T00:00:00"/>
        <d v="2021-10-17T00:00:00"/>
        <d v="2023-10-21T00:00:00"/>
        <d v="2023-11-12T00:00:00"/>
        <d v="2021-07-13T00:00:00"/>
        <d v="2021-07-30T00:00:00"/>
        <d v="2021-10-28T00:00:00"/>
        <d v="2023-06-12T00:00:00"/>
        <d v="2022-07-18T00:00:00"/>
        <d v="2021-11-10T00:00:00"/>
      </sharedItems>
    </cacheField>
    <cacheField name="Bill_Amount2" numFmtId="0">
      <sharedItems containsSemiMixedTypes="0" containsString="0" containsNumber="1" minValue="0" maxValue="49979.95"/>
    </cacheField>
    <cacheField name="Bill_Amount rank" numFmtId="0">
      <sharedItems containsSemiMixedTypes="0" containsString="0" containsNumber="1" containsInteger="1" minValue="1" maxValue="107"/>
    </cacheField>
    <cacheField name="Age_validation" numFmtId="0">
      <sharedItems count="5">
        <s v="Child"/>
        <s v="Adult"/>
        <s v="Senior"/>
        <s v="Young Adult"/>
        <s v="Unknown"/>
      </sharedItems>
    </cacheField>
    <cacheField name="BMI" numFmtId="0">
      <sharedItems containsMixedTypes="1" containsNumber="1" minValue="11.199819537966595" maxValue="59.673484706323897"/>
    </cacheField>
    <cacheField name="BMII" numFmtId="0">
      <sharedItems/>
    </cacheField>
    <cacheField name="Doctor_refrnece" numFmtId="0">
      <sharedItems/>
    </cacheField>
    <cacheField name="Quarters" numFmtId="0" databaseField="0">
      <fieldGroup base="13">
        <rangePr groupBy="quarters" startDate="2021-01-06T00:00:00" endDate="2023-12-16T00:00:00"/>
        <groupItems count="6">
          <s v="&lt;1/6/2021"/>
          <s v="Qtr1"/>
          <s v="Qtr2"/>
          <s v="Qtr3"/>
          <s v="Qtr4"/>
          <s v="&gt;12/16/2023"/>
        </groupItems>
      </fieldGroup>
    </cacheField>
    <cacheField name="Years" numFmtId="0" databaseField="0">
      <fieldGroup base="13">
        <rangePr groupBy="years" startDate="2021-01-06T00:00:00" endDate="2023-12-16T00:00:00"/>
        <groupItems count="5">
          <s v="&lt;1/6/2021"/>
          <s v="2021"/>
          <s v="2022"/>
          <s v="2023"/>
          <s v="&gt;12/16/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40">
  <r>
    <s v="PT-1001"/>
    <x v="0"/>
    <n v="14"/>
    <x v="0"/>
    <x v="0"/>
    <s v="B+"/>
    <x v="0"/>
    <n v="156.69999999999999"/>
    <n v="94"/>
    <s v="Unknown"/>
    <s v="Unknown"/>
    <x v="0"/>
    <x v="0"/>
    <x v="0"/>
    <x v="0"/>
    <n v="22735.85"/>
    <n v="42"/>
    <x v="0"/>
    <n v="38.28158057315671"/>
    <s v="Obese"/>
    <s v="Dr. Sunita Sanchez"/>
  </r>
  <r>
    <s v="PT-1002"/>
    <x v="1"/>
    <n v="44"/>
    <x v="1"/>
    <x v="1"/>
    <s v="Ab+"/>
    <x v="1"/>
    <n v="158"/>
    <n v="106"/>
    <s v="No"/>
    <s v="No"/>
    <x v="1"/>
    <x v="1"/>
    <x v="1"/>
    <x v="1"/>
    <n v="31116.73"/>
    <n v="38"/>
    <x v="1"/>
    <n v="42.461144047428292"/>
    <s v="Obese"/>
    <s v="Dr. Arvind Wilson"/>
  </r>
  <r>
    <s v="PT-1003"/>
    <x v="2"/>
    <n v="30"/>
    <x v="1"/>
    <x v="1"/>
    <s v="Ab+"/>
    <x v="2"/>
    <n v="186.5"/>
    <n v="58.9"/>
    <s v="Unknown"/>
    <s v="Unknown"/>
    <x v="2"/>
    <x v="2"/>
    <x v="2"/>
    <x v="2"/>
    <n v="31931.43"/>
    <n v="35"/>
    <x v="1"/>
    <n v="16.933924631097756"/>
    <s v="Underweight"/>
    <s v="Dr. Neha Liu"/>
  </r>
  <r>
    <s v="PT-1004"/>
    <x v="3"/>
    <n v="8"/>
    <x v="1"/>
    <x v="2"/>
    <s v="O+"/>
    <x v="3"/>
    <n v="155.5"/>
    <n v="84.9"/>
    <s v="Yes"/>
    <s v="Yes"/>
    <x v="3"/>
    <x v="3"/>
    <x v="3"/>
    <x v="3"/>
    <n v="28287.72"/>
    <n v="107"/>
    <x v="0"/>
    <n v="35.111299510964535"/>
    <s v="Obese"/>
    <s v="Dr. Vikram Wang"/>
  </r>
  <r>
    <s v="PT-1005"/>
    <x v="4"/>
    <n v="66"/>
    <x v="1"/>
    <x v="1"/>
    <s v="A-"/>
    <x v="4"/>
    <n v="160.9"/>
    <n v="74.599999999999994"/>
    <s v="Yes"/>
    <s v="Yes"/>
    <x v="1"/>
    <x v="4"/>
    <x v="4"/>
    <x v="4"/>
    <n v="36175.730000000003"/>
    <n v="38"/>
    <x v="2"/>
    <n v="28.815538450782405"/>
    <s v="Overweight"/>
    <s v="Dr. Arvind Wilson"/>
  </r>
  <r>
    <s v="PT-1006"/>
    <x v="5"/>
    <n v="59"/>
    <x v="0"/>
    <x v="0"/>
    <s v="A+"/>
    <x v="5"/>
    <n v="183"/>
    <n v="67"/>
    <s v="Yes"/>
    <s v="No"/>
    <x v="4"/>
    <x v="5"/>
    <x v="5"/>
    <x v="5"/>
    <n v="47698.239999999998"/>
    <n v="1"/>
    <x v="1"/>
    <n v="20.006569321269669"/>
    <s v="Normal"/>
    <s v="Dr. Rahul Nair"/>
  </r>
  <r>
    <s v="PT-1007"/>
    <x v="6"/>
    <n v="40"/>
    <x v="1"/>
    <x v="2"/>
    <s v="Ab-"/>
    <x v="0"/>
    <n v="152.9"/>
    <n v="128"/>
    <s v="Yes"/>
    <s v="Unknown"/>
    <x v="5"/>
    <x v="6"/>
    <x v="6"/>
    <x v="6"/>
    <n v="26619.85"/>
    <n v="37"/>
    <x v="1"/>
    <n v="54.751371029937438"/>
    <s v="Obese"/>
    <s v="Dr. Arvind Chen"/>
  </r>
  <r>
    <s v="PT-1008"/>
    <x v="7"/>
    <n v="86"/>
    <x v="0"/>
    <x v="2"/>
    <s v="Ab-"/>
    <x v="5"/>
    <n v="165"/>
    <n v="93"/>
    <s v="Unknown"/>
    <s v="No"/>
    <x v="3"/>
    <x v="7"/>
    <x v="7"/>
    <x v="7"/>
    <n v="31739.599999999999"/>
    <n v="107"/>
    <x v="2"/>
    <n v="34.159779614325075"/>
    <s v="Obese"/>
    <s v="Dr. Vikram Wang"/>
  </r>
  <r>
    <s v="PT-1009"/>
    <x v="8"/>
    <n v="28"/>
    <x v="2"/>
    <x v="3"/>
    <s v="Unknown"/>
    <x v="6"/>
    <n v="161"/>
    <n v="99.3"/>
    <s v="No"/>
    <s v="Yes"/>
    <x v="5"/>
    <x v="8"/>
    <x v="8"/>
    <x v="8"/>
    <n v="32846.050000000003"/>
    <n v="37"/>
    <x v="1"/>
    <n v="38.30870722580147"/>
    <s v="Obese"/>
    <s v="Dr. Arvind Chen"/>
  </r>
  <r>
    <s v="PT-1010"/>
    <x v="9"/>
    <n v="18"/>
    <x v="0"/>
    <x v="4"/>
    <s v="A+"/>
    <x v="7"/>
    <n v="149.30000000000001"/>
    <n v="117"/>
    <s v="Yes"/>
    <s v="Unknown"/>
    <x v="1"/>
    <x v="9"/>
    <x v="9"/>
    <x v="9"/>
    <n v="46355.17"/>
    <n v="1"/>
    <x v="0"/>
    <n v="52.48875192963456"/>
    <s v="Obese"/>
    <s v="Dr. Arvind Wilson"/>
  </r>
  <r>
    <s v="PT-1011"/>
    <x v="10"/>
    <n v="1"/>
    <x v="0"/>
    <x v="5"/>
    <s v="Ab-"/>
    <x v="8"/>
    <n v="165"/>
    <n v="67"/>
    <s v="Unknown"/>
    <s v="Unknown"/>
    <x v="1"/>
    <x v="10"/>
    <x v="10"/>
    <x v="10"/>
    <n v="16023.44"/>
    <n v="38"/>
    <x v="0"/>
    <n v="24.609733700642796"/>
    <s v="Normal"/>
    <s v="Dr. Arvind Wilson"/>
  </r>
  <r>
    <s v="PT-1012"/>
    <x v="11"/>
    <n v="24"/>
    <x v="1"/>
    <x v="6"/>
    <s v="B+"/>
    <x v="9"/>
    <n v="177"/>
    <n v="44"/>
    <s v="No"/>
    <s v="Unknown"/>
    <x v="6"/>
    <x v="11"/>
    <x v="11"/>
    <x v="11"/>
    <n v="46767.96"/>
    <n v="1"/>
    <x v="3"/>
    <n v="14.044495515337227"/>
    <s v="Underweight"/>
    <s v="Dr. Sunita Zhang"/>
  </r>
  <r>
    <s v="PT-1013"/>
    <x v="12"/>
    <n v="41"/>
    <x v="0"/>
    <x v="1"/>
    <s v="A+"/>
    <x v="7"/>
    <n v="158"/>
    <n v="59.2"/>
    <s v="Yes"/>
    <s v="No"/>
    <x v="7"/>
    <x v="12"/>
    <x v="12"/>
    <x v="12"/>
    <n v="18791.59"/>
    <n v="35"/>
    <x v="1"/>
    <n v="23.714148373658066"/>
    <s v="Normal"/>
    <s v="Dr. Meera Torres"/>
  </r>
  <r>
    <s v="PT-1014"/>
    <x v="13"/>
    <n v="39"/>
    <x v="0"/>
    <x v="1"/>
    <s v="O+"/>
    <x v="2"/>
    <n v="173.2"/>
    <n v="94.4"/>
    <s v="No"/>
    <s v="Unknown"/>
    <x v="2"/>
    <x v="13"/>
    <x v="13"/>
    <x v="13"/>
    <n v="24682.33"/>
    <n v="35"/>
    <x v="1"/>
    <n v="31.468512819418741"/>
    <s v="Obese"/>
    <s v="Dr. Neha Liu"/>
  </r>
  <r>
    <s v="PT-1015"/>
    <x v="14"/>
    <n v="17"/>
    <x v="0"/>
    <x v="5"/>
    <s v="O-"/>
    <x v="10"/>
    <n v="180"/>
    <n v="125"/>
    <s v="Yes"/>
    <s v="Yes"/>
    <x v="8"/>
    <x v="14"/>
    <x v="14"/>
    <x v="14"/>
    <n v="27849.99"/>
    <n v="34"/>
    <x v="0"/>
    <n v="38.580246913580247"/>
    <s v="Obese"/>
    <s v="Dr. Vikram Torres"/>
  </r>
  <r>
    <s v="PT-1016"/>
    <x v="15"/>
    <n v="14"/>
    <x v="1"/>
    <x v="7"/>
    <s v="Unknown"/>
    <x v="11"/>
    <n v="170"/>
    <n v="128"/>
    <s v="No"/>
    <s v="Yes"/>
    <x v="3"/>
    <x v="15"/>
    <x v="15"/>
    <x v="15"/>
    <n v="40210.639999999999"/>
    <n v="107"/>
    <x v="0"/>
    <n v="44.29065743944637"/>
    <s v="Obese"/>
    <s v="Dr. Vikram Wang"/>
  </r>
  <r>
    <s v="PT-1017"/>
    <x v="16"/>
    <s v="Invalid"/>
    <x v="1"/>
    <x v="0"/>
    <s v="Ab-"/>
    <x v="3"/>
    <n v="170"/>
    <n v="99.4"/>
    <s v="No"/>
    <s v="Yes"/>
    <x v="8"/>
    <x v="16"/>
    <x v="16"/>
    <x v="16"/>
    <n v="17881.73"/>
    <n v="34"/>
    <x v="4"/>
    <n v="34.394463667820077"/>
    <s v="Obese"/>
    <s v="Dr. Vikram Torres"/>
  </r>
  <r>
    <s v="PT-1018"/>
    <x v="17"/>
    <n v="23"/>
    <x v="2"/>
    <x v="5"/>
    <s v="A-"/>
    <x v="1"/>
    <n v="162.30000000000001"/>
    <n v="129"/>
    <s v="No"/>
    <s v="No"/>
    <x v="9"/>
    <x v="17"/>
    <x v="17"/>
    <x v="17"/>
    <n v="0"/>
    <n v="35"/>
    <x v="3"/>
    <n v="48.972544624807661"/>
    <s v="Obese"/>
    <s v="Dr. Vikram Khan"/>
  </r>
  <r>
    <s v="PT-1019"/>
    <x v="18"/>
    <n v="86"/>
    <x v="1"/>
    <x v="6"/>
    <s v="O+"/>
    <x v="9"/>
    <n v="158.4"/>
    <n v="100"/>
    <s v="No"/>
    <s v="Unknown"/>
    <x v="10"/>
    <x v="18"/>
    <x v="18"/>
    <x v="18"/>
    <n v="21312.09"/>
    <n v="83"/>
    <x v="2"/>
    <n v="39.855626976839098"/>
    <s v="Obese"/>
    <s v="Dr. Anita Sanchez"/>
  </r>
  <r>
    <s v="PT-1020"/>
    <x v="19"/>
    <n v="1"/>
    <x v="0"/>
    <x v="8"/>
    <s v="Ab+"/>
    <x v="7"/>
    <n v="157"/>
    <n v="80"/>
    <s v="Yes"/>
    <s v="No"/>
    <x v="4"/>
    <x v="19"/>
    <x v="19"/>
    <x v="19"/>
    <n v="4697.38"/>
    <n v="45"/>
    <x v="0"/>
    <n v="32.455677715120288"/>
    <s v="Obese"/>
    <s v="Dr. Rahul Nair"/>
  </r>
  <r>
    <s v="PT-1021"/>
    <x v="20"/>
    <n v="26"/>
    <x v="0"/>
    <x v="9"/>
    <s v="A-"/>
    <x v="6"/>
    <n v="193.4"/>
    <n v="120"/>
    <s v="Unknown"/>
    <s v="Unknown"/>
    <x v="11"/>
    <x v="20"/>
    <x v="20"/>
    <x v="20"/>
    <n v="12577.23"/>
    <n v="31"/>
    <x v="1"/>
    <n v="32.082507654351609"/>
    <s v="Obese"/>
    <s v="Dr. Suresh Johnson"/>
  </r>
  <r>
    <s v="PT-1022"/>
    <x v="21"/>
    <n v="90"/>
    <x v="2"/>
    <x v="10"/>
    <s v="A-"/>
    <x v="12"/>
    <n v="172"/>
    <n v="81.8"/>
    <s v="No"/>
    <s v="No"/>
    <x v="8"/>
    <x v="21"/>
    <x v="21"/>
    <x v="21"/>
    <n v="41613.17"/>
    <n v="34"/>
    <x v="2"/>
    <n v="27.650081124932399"/>
    <s v="Overweight"/>
    <s v="Dr. Vikram Torres"/>
  </r>
  <r>
    <s v="PT-1023"/>
    <x v="22"/>
    <n v="82"/>
    <x v="0"/>
    <x v="7"/>
    <s v="Unknown"/>
    <x v="13"/>
    <n v="173.3"/>
    <n v="70"/>
    <s v="Yes"/>
    <s v="Yes"/>
    <x v="9"/>
    <x v="22"/>
    <x v="22"/>
    <x v="22"/>
    <n v="8063.86"/>
    <n v="35"/>
    <x v="2"/>
    <n v="23.307780236933571"/>
    <s v="Normal"/>
    <s v="Dr. Vikram Khan"/>
  </r>
  <r>
    <s v="PT-1024"/>
    <x v="23"/>
    <n v="50"/>
    <x v="0"/>
    <x v="11"/>
    <s v="A+"/>
    <x v="4"/>
    <n v="175.5"/>
    <s v="Invalid"/>
    <s v="No"/>
    <s v="Yes"/>
    <x v="4"/>
    <x v="23"/>
    <x v="23"/>
    <x v="23"/>
    <n v="27141.919999999998"/>
    <n v="45"/>
    <x v="1"/>
    <s v="Unknown"/>
    <s v="Unknown"/>
    <s v="Dr. Rahul Nair"/>
  </r>
  <r>
    <s v="PT-1025"/>
    <x v="24"/>
    <n v="50"/>
    <x v="1"/>
    <x v="2"/>
    <s v="Ab+"/>
    <x v="10"/>
    <n v="166"/>
    <n v="88.1"/>
    <s v="Unknown"/>
    <s v="No"/>
    <x v="2"/>
    <x v="24"/>
    <x v="24"/>
    <x v="24"/>
    <n v="32316.11"/>
    <n v="35"/>
    <x v="1"/>
    <n v="31.971258528088256"/>
    <s v="Obese"/>
    <s v="Dr. Neha Liu"/>
  </r>
  <r>
    <s v="PT-1026"/>
    <x v="25"/>
    <n v="49"/>
    <x v="0"/>
    <x v="7"/>
    <s v="Unknown"/>
    <x v="2"/>
    <n v="185"/>
    <n v="71"/>
    <s v="Unknown"/>
    <s v="Yes"/>
    <x v="4"/>
    <x v="25"/>
    <x v="25"/>
    <x v="25"/>
    <n v="0"/>
    <n v="45"/>
    <x v="1"/>
    <n v="20.74506939371804"/>
    <s v="Normal"/>
    <s v="Dr. Rahul Nair"/>
  </r>
  <r>
    <s v="PT-1027"/>
    <x v="26"/>
    <n v="90"/>
    <x v="0"/>
    <x v="7"/>
    <s v="O+"/>
    <x v="14"/>
    <n v="191"/>
    <n v="54.7"/>
    <s v="No"/>
    <s v="No"/>
    <x v="3"/>
    <x v="26"/>
    <x v="26"/>
    <x v="26"/>
    <n v="34028.69"/>
    <n v="107"/>
    <x v="2"/>
    <n v="14.99410652120282"/>
    <s v="Underweight"/>
    <s v="Dr. Vikram Wang"/>
  </r>
  <r>
    <s v="PT-1028"/>
    <x v="27"/>
    <n v="14"/>
    <x v="1"/>
    <x v="7"/>
    <s v="B+"/>
    <x v="4"/>
    <n v="152"/>
    <n v="78.599999999999994"/>
    <s v="No"/>
    <s v="Yes"/>
    <x v="2"/>
    <x v="27"/>
    <x v="27"/>
    <x v="27"/>
    <n v="42553.99"/>
    <n v="35"/>
    <x v="0"/>
    <n v="34.020083102493075"/>
    <s v="Obese"/>
    <s v="Dr. Neha Liu"/>
  </r>
  <r>
    <s v="PT-1029"/>
    <x v="28"/>
    <n v="94"/>
    <x v="2"/>
    <x v="9"/>
    <s v="A+"/>
    <x v="11"/>
    <n v="181"/>
    <n v="114.3"/>
    <s v="No"/>
    <s v="No"/>
    <x v="8"/>
    <x v="28"/>
    <x v="28"/>
    <x v="28"/>
    <n v="44140.74"/>
    <n v="34"/>
    <x v="2"/>
    <n v="34.889044900949301"/>
    <s v="Obese"/>
    <s v="Dr. Vikram Torres"/>
  </r>
  <r>
    <s v="PT-1030"/>
    <x v="29"/>
    <n v="24"/>
    <x v="1"/>
    <x v="0"/>
    <s v="O+"/>
    <x v="15"/>
    <n v="194.9"/>
    <n v="86"/>
    <s v="No"/>
    <s v="No"/>
    <x v="0"/>
    <x v="29"/>
    <x v="29"/>
    <x v="29"/>
    <n v="27981.22"/>
    <n v="42"/>
    <x v="3"/>
    <n v="22.63991401044753"/>
    <s v="Normal"/>
    <s v="Dr. Sunita Sanchez"/>
  </r>
  <r>
    <s v="PT-1031"/>
    <x v="30"/>
    <n v="89"/>
    <x v="1"/>
    <x v="8"/>
    <s v="O+"/>
    <x v="5"/>
    <n v="175"/>
    <n v="80.8"/>
    <s v="Yes"/>
    <s v="No"/>
    <x v="3"/>
    <x v="30"/>
    <x v="30"/>
    <x v="30"/>
    <n v="6417.96"/>
    <n v="107"/>
    <x v="2"/>
    <n v="26.383673469387755"/>
    <s v="Overweight"/>
    <s v="Dr. Vikram Wang"/>
  </r>
  <r>
    <s v="PT-1032"/>
    <x v="31"/>
    <n v="68"/>
    <x v="2"/>
    <x v="8"/>
    <s v="B-"/>
    <x v="15"/>
    <n v="162.19999999999999"/>
    <n v="104"/>
    <s v="Yes"/>
    <s v="Yes"/>
    <x v="3"/>
    <x v="31"/>
    <x v="31"/>
    <x v="31"/>
    <n v="47232.44"/>
    <n v="1"/>
    <x v="2"/>
    <n v="39.530439198383519"/>
    <s v="Obese"/>
    <s v="Dr. Vikram Wang"/>
  </r>
  <r>
    <s v="PT-1032"/>
    <x v="32"/>
    <n v="55"/>
    <x v="1"/>
    <x v="7"/>
    <s v="O+"/>
    <x v="15"/>
    <n v="150"/>
    <n v="40.799999999999997"/>
    <s v="No"/>
    <s v="Yes"/>
    <x v="8"/>
    <x v="32"/>
    <x v="32"/>
    <x v="32"/>
    <n v="25241.72"/>
    <n v="34"/>
    <x v="1"/>
    <n v="18.133333333333333"/>
    <s v="Underweight"/>
    <s v="Dr. Vikram Torres"/>
  </r>
  <r>
    <s v="PT-1033"/>
    <x v="33"/>
    <n v="44"/>
    <x v="0"/>
    <x v="2"/>
    <s v="A+"/>
    <x v="4"/>
    <n v="168.4"/>
    <n v="92"/>
    <s v="Yes"/>
    <s v="Yes"/>
    <x v="4"/>
    <x v="33"/>
    <x v="33"/>
    <x v="33"/>
    <n v="49698.95"/>
    <n v="1"/>
    <x v="1"/>
    <n v="32.441703669015624"/>
    <s v="Obese"/>
    <s v="Dr. Rahul Nair"/>
  </r>
  <r>
    <s v="PT-1034"/>
    <x v="34"/>
    <n v="57"/>
    <x v="0"/>
    <x v="11"/>
    <s v="Unknown"/>
    <x v="8"/>
    <n v="152"/>
    <n v="59"/>
    <s v="Yes"/>
    <s v="Unknown"/>
    <x v="3"/>
    <x v="34"/>
    <x v="34"/>
    <x v="34"/>
    <n v="9103.77"/>
    <n v="107"/>
    <x v="1"/>
    <n v="25.536703601108034"/>
    <s v="Overweight"/>
    <s v="Dr. Vikram Wang"/>
  </r>
  <r>
    <s v="PT-1035"/>
    <x v="35"/>
    <n v="91"/>
    <x v="0"/>
    <x v="3"/>
    <s v="Ab-"/>
    <x v="16"/>
    <n v="187.9"/>
    <n v="89"/>
    <s v="Yes"/>
    <s v="Yes"/>
    <x v="3"/>
    <x v="35"/>
    <x v="35"/>
    <x v="35"/>
    <n v="39735.11"/>
    <n v="107"/>
    <x v="2"/>
    <n v="25.207887179693433"/>
    <s v="Overweight"/>
    <s v="Dr. Vikram Wang"/>
  </r>
  <r>
    <s v="PT-1036"/>
    <x v="36"/>
    <n v="52"/>
    <x v="0"/>
    <x v="12"/>
    <s v="Unknown"/>
    <x v="7"/>
    <n v="165"/>
    <n v="106.1"/>
    <s v="Yes"/>
    <s v="No"/>
    <x v="9"/>
    <x v="36"/>
    <x v="36"/>
    <x v="36"/>
    <n v="41160.35"/>
    <n v="35"/>
    <x v="1"/>
    <n v="38.971533516988067"/>
    <s v="Obese"/>
    <s v="Dr. Vikram Khan"/>
  </r>
  <r>
    <s v="PT-1037"/>
    <x v="37"/>
    <n v="75"/>
    <x v="0"/>
    <x v="9"/>
    <s v="Unknown"/>
    <x v="16"/>
    <n v="195"/>
    <n v="117.2"/>
    <s v="No"/>
    <s v="Unknown"/>
    <x v="5"/>
    <x v="37"/>
    <x v="37"/>
    <x v="37"/>
    <n v="47287.08"/>
    <n v="1"/>
    <x v="2"/>
    <n v="30.82182774490467"/>
    <s v="Obese"/>
    <s v="Dr. Arvind Chen"/>
  </r>
  <r>
    <s v="PT-1038"/>
    <x v="38"/>
    <n v="52"/>
    <x v="1"/>
    <x v="12"/>
    <s v="A+"/>
    <x v="9"/>
    <n v="171.5"/>
    <n v="72.599999999999994"/>
    <s v="Unknown"/>
    <s v="No"/>
    <x v="4"/>
    <x v="38"/>
    <x v="38"/>
    <x v="38"/>
    <n v="13719.28"/>
    <n v="45"/>
    <x v="1"/>
    <n v="24.683592720720103"/>
    <s v="Normal"/>
    <s v="Dr. Rahul Nair"/>
  </r>
  <r>
    <s v="PT-1039"/>
    <x v="39"/>
    <n v="31"/>
    <x v="1"/>
    <x v="4"/>
    <s v="B+"/>
    <x v="12"/>
    <n v="178.8"/>
    <n v="60"/>
    <s v="No"/>
    <s v="No"/>
    <x v="2"/>
    <x v="39"/>
    <x v="39"/>
    <x v="39"/>
    <n v="46666.33"/>
    <n v="1"/>
    <x v="1"/>
    <n v="18.767923366815307"/>
    <s v="Normal"/>
    <s v="Dr. Neha Liu"/>
  </r>
  <r>
    <s v="PT-1040"/>
    <x v="40"/>
    <n v="50"/>
    <x v="1"/>
    <x v="6"/>
    <s v="O+"/>
    <x v="4"/>
    <s v="Invalid"/>
    <n v="110.9"/>
    <s v="Yes"/>
    <s v="Yes"/>
    <x v="0"/>
    <x v="40"/>
    <x v="40"/>
    <x v="40"/>
    <n v="29206.21"/>
    <n v="42"/>
    <x v="1"/>
    <s v="Unknown"/>
    <s v="Unknown"/>
    <s v="Dr. Sunita Sanchez"/>
  </r>
  <r>
    <s v="PT-1041"/>
    <x v="41"/>
    <n v="49"/>
    <x v="1"/>
    <x v="9"/>
    <s v="Ab+"/>
    <x v="17"/>
    <n v="155"/>
    <s v="Invalid"/>
    <s v="No"/>
    <s v="Unknown"/>
    <x v="7"/>
    <x v="41"/>
    <x v="41"/>
    <x v="41"/>
    <n v="49426.49"/>
    <n v="1"/>
    <x v="1"/>
    <s v="Unknown"/>
    <s v="Unknown"/>
    <s v="Dr. Meera Torres"/>
  </r>
  <r>
    <s v="PT-1042"/>
    <x v="42"/>
    <n v="13"/>
    <x v="1"/>
    <x v="10"/>
    <s v="B-"/>
    <x v="5"/>
    <n v="155.5"/>
    <n v="99"/>
    <s v="No"/>
    <s v="No"/>
    <x v="4"/>
    <x v="42"/>
    <x v="42"/>
    <x v="42"/>
    <n v="31351.34"/>
    <n v="45"/>
    <x v="0"/>
    <n v="40.942504730099984"/>
    <s v="Obese"/>
    <s v="Dr. Rahul Nair"/>
  </r>
  <r>
    <s v="PT-1043"/>
    <x v="43"/>
    <n v="92"/>
    <x v="0"/>
    <x v="13"/>
    <s v="A-"/>
    <x v="11"/>
    <n v="146.6"/>
    <n v="107.2"/>
    <s v="No"/>
    <s v="Unknown"/>
    <x v="0"/>
    <x v="43"/>
    <x v="43"/>
    <x v="43"/>
    <n v="8735.06"/>
    <n v="42"/>
    <x v="2"/>
    <n v="49.880045934310957"/>
    <s v="Obese"/>
    <s v="Dr. Sunita Sanchez"/>
  </r>
  <r>
    <s v="PT-1044"/>
    <x v="44"/>
    <n v="32"/>
    <x v="2"/>
    <x v="14"/>
    <s v="O-"/>
    <x v="14"/>
    <n v="147.30000000000001"/>
    <n v="62"/>
    <s v="No"/>
    <s v="No"/>
    <x v="2"/>
    <x v="44"/>
    <x v="44"/>
    <x v="44"/>
    <n v="0"/>
    <n v="35"/>
    <x v="1"/>
    <n v="28.574997154022459"/>
    <s v="Overweight"/>
    <s v="Dr. Neha Liu"/>
  </r>
  <r>
    <s v="PT-1045"/>
    <x v="43"/>
    <n v="45"/>
    <x v="2"/>
    <x v="8"/>
    <s v="Unknown"/>
    <x v="17"/>
    <n v="165"/>
    <n v="117"/>
    <s v="No"/>
    <s v="Yes"/>
    <x v="6"/>
    <x v="45"/>
    <x v="45"/>
    <x v="45"/>
    <n v="15145.68"/>
    <n v="30"/>
    <x v="1"/>
    <n v="42.97520661157025"/>
    <s v="Obese"/>
    <s v="Dr. Sunita Zhang"/>
  </r>
  <r>
    <s v="PT-1046"/>
    <x v="45"/>
    <n v="7"/>
    <x v="2"/>
    <x v="0"/>
    <s v="Unknown"/>
    <x v="15"/>
    <n v="159"/>
    <n v="72"/>
    <s v="Unknown"/>
    <s v="Yes"/>
    <x v="2"/>
    <x v="46"/>
    <x v="46"/>
    <x v="46"/>
    <n v="5309.61"/>
    <n v="35"/>
    <x v="0"/>
    <n v="28.479886080455675"/>
    <s v="Overweight"/>
    <s v="Dr. Neha Liu"/>
  </r>
  <r>
    <s v="PT-1047"/>
    <x v="46"/>
    <n v="38"/>
    <x v="1"/>
    <x v="0"/>
    <s v="Unknown"/>
    <x v="14"/>
    <n v="180"/>
    <n v="122"/>
    <s v="Yes"/>
    <s v="No"/>
    <x v="4"/>
    <x v="47"/>
    <x v="47"/>
    <x v="47"/>
    <n v="43584.65"/>
    <n v="45"/>
    <x v="1"/>
    <n v="37.654320987654316"/>
    <s v="Obese"/>
    <s v="Dr. Rahul Nair"/>
  </r>
  <r>
    <s v="PT-1048"/>
    <x v="47"/>
    <n v="51"/>
    <x v="1"/>
    <x v="15"/>
    <s v="O+"/>
    <x v="16"/>
    <n v="191"/>
    <n v="100.6"/>
    <s v="Unknown"/>
    <s v="Yes"/>
    <x v="8"/>
    <x v="48"/>
    <x v="48"/>
    <x v="48"/>
    <n v="33904.410000000003"/>
    <n v="34"/>
    <x v="1"/>
    <n v="27.57599846495436"/>
    <s v="Overweight"/>
    <s v="Dr. Vikram Torres"/>
  </r>
  <r>
    <s v="PT-1049"/>
    <x v="48"/>
    <n v="60"/>
    <x v="1"/>
    <x v="8"/>
    <s v="Unknown"/>
    <x v="1"/>
    <n v="145.1"/>
    <n v="50"/>
    <s v="Yes"/>
    <s v="Yes"/>
    <x v="11"/>
    <x v="49"/>
    <x v="49"/>
    <x v="49"/>
    <n v="33689.07"/>
    <n v="31"/>
    <x v="2"/>
    <n v="23.748445070559008"/>
    <s v="Normal"/>
    <s v="Dr. Suresh Johnson"/>
  </r>
  <r>
    <s v="PT-1050"/>
    <x v="49"/>
    <n v="63"/>
    <x v="2"/>
    <x v="14"/>
    <s v="A+"/>
    <x v="18"/>
    <n v="191"/>
    <n v="117"/>
    <s v="Unknown"/>
    <s v="No"/>
    <x v="1"/>
    <x v="50"/>
    <x v="50"/>
    <x v="50"/>
    <n v="20207.91"/>
    <n v="38"/>
    <x v="2"/>
    <n v="32.071489268386287"/>
    <s v="Obese"/>
    <s v="Dr. Arvind Wilson"/>
  </r>
  <r>
    <s v="PT-1051"/>
    <x v="50"/>
    <n v="93"/>
    <x v="0"/>
    <x v="5"/>
    <s v="Ab+"/>
    <x v="18"/>
    <n v="152"/>
    <n v="124"/>
    <s v="Unknown"/>
    <s v="Unknown"/>
    <x v="3"/>
    <x v="51"/>
    <x v="51"/>
    <x v="51"/>
    <n v="42893.82"/>
    <n v="107"/>
    <x v="2"/>
    <n v="53.670360110803323"/>
    <s v="Obese"/>
    <s v="Dr. Vikram Wang"/>
  </r>
  <r>
    <s v="PT-1051"/>
    <x v="51"/>
    <n v="77"/>
    <x v="0"/>
    <x v="2"/>
    <s v="O+"/>
    <x v="6"/>
    <n v="158"/>
    <s v="Invalid"/>
    <s v="No"/>
    <s v="No"/>
    <x v="9"/>
    <x v="52"/>
    <x v="52"/>
    <x v="52"/>
    <n v="38831.24"/>
    <n v="35"/>
    <x v="2"/>
    <s v="Unknown"/>
    <s v="Unknown"/>
    <s v="Dr. Vikram Khan"/>
  </r>
  <r>
    <s v="PT-1052"/>
    <x v="52"/>
    <n v="15"/>
    <x v="0"/>
    <x v="9"/>
    <s v="O+"/>
    <x v="4"/>
    <n v="177.9"/>
    <s v="Invalid"/>
    <s v="Yes"/>
    <s v="Yes"/>
    <x v="3"/>
    <x v="53"/>
    <x v="53"/>
    <x v="53"/>
    <n v="6125.64"/>
    <n v="107"/>
    <x v="0"/>
    <s v="Unknown"/>
    <s v="Unknown"/>
    <s v="Dr. Vikram Wang"/>
  </r>
  <r>
    <s v="PT-1053"/>
    <x v="53"/>
    <n v="79"/>
    <x v="0"/>
    <x v="0"/>
    <s v="B+"/>
    <x v="7"/>
    <n v="162.19999999999999"/>
    <n v="78"/>
    <s v="No"/>
    <s v="Unknown"/>
    <x v="7"/>
    <x v="54"/>
    <x v="54"/>
    <x v="54"/>
    <n v="45013.7"/>
    <n v="8"/>
    <x v="2"/>
    <n v="29.647829398787636"/>
    <s v="Overweight"/>
    <s v="Dr. Meera Torres"/>
  </r>
  <r>
    <s v="PT-1053"/>
    <x v="54"/>
    <n v="19"/>
    <x v="1"/>
    <x v="8"/>
    <s v="Ab-"/>
    <x v="14"/>
    <n v="179"/>
    <n v="45"/>
    <s v="No"/>
    <s v="Unknown"/>
    <x v="3"/>
    <x v="55"/>
    <x v="55"/>
    <x v="55"/>
    <n v="3163.09"/>
    <n v="107"/>
    <x v="3"/>
    <n v="14.044505477357136"/>
    <s v="Underweight"/>
    <s v="Dr. Vikram Wang"/>
  </r>
  <r>
    <s v="PT-1054"/>
    <x v="55"/>
    <n v="77"/>
    <x v="2"/>
    <x v="8"/>
    <s v="Ab-"/>
    <x v="5"/>
    <n v="167"/>
    <n v="99"/>
    <s v="No"/>
    <s v="No"/>
    <x v="7"/>
    <x v="56"/>
    <x v="56"/>
    <x v="56"/>
    <n v="17277.12"/>
    <n v="35"/>
    <x v="2"/>
    <n v="35.49786654236437"/>
    <s v="Obese"/>
    <s v="Dr. Meera Torres"/>
  </r>
  <r>
    <s v="PT-1055"/>
    <x v="56"/>
    <n v="20"/>
    <x v="0"/>
    <x v="13"/>
    <s v="B+"/>
    <x v="16"/>
    <n v="180"/>
    <n v="74"/>
    <s v="Yes"/>
    <s v="Yes"/>
    <x v="6"/>
    <x v="57"/>
    <x v="57"/>
    <x v="57"/>
    <n v="6550.45"/>
    <n v="30"/>
    <x v="3"/>
    <n v="22.839506172839506"/>
    <s v="Normal"/>
    <s v="Dr. Sunita Zhang"/>
  </r>
  <r>
    <s v="PT-1056"/>
    <x v="57"/>
    <n v="46"/>
    <x v="1"/>
    <x v="11"/>
    <s v="Ab+"/>
    <x v="18"/>
    <n v="155"/>
    <n v="90"/>
    <s v="Yes"/>
    <s v="No"/>
    <x v="9"/>
    <x v="58"/>
    <x v="58"/>
    <x v="58"/>
    <n v="48740.06"/>
    <n v="1"/>
    <x v="1"/>
    <n v="37.460978147762745"/>
    <s v="Obese"/>
    <s v="Dr. Vikram Khan"/>
  </r>
  <r>
    <s v="PT-1057"/>
    <x v="58"/>
    <n v="35"/>
    <x v="0"/>
    <x v="4"/>
    <s v="A+"/>
    <x v="17"/>
    <n v="186.1"/>
    <s v="Invalid"/>
    <s v="Yes"/>
    <s v="No"/>
    <x v="2"/>
    <x v="59"/>
    <x v="59"/>
    <x v="59"/>
    <n v="7522.8"/>
    <n v="35"/>
    <x v="1"/>
    <s v="Unknown"/>
    <s v="Unknown"/>
    <s v="Dr. Neha Liu"/>
  </r>
  <r>
    <s v="PT-1058"/>
    <x v="59"/>
    <n v="48"/>
    <x v="0"/>
    <x v="0"/>
    <s v="O+"/>
    <x v="15"/>
    <n v="152"/>
    <n v="108"/>
    <s v="Unknown"/>
    <s v="No"/>
    <x v="10"/>
    <x v="60"/>
    <x v="60"/>
    <x v="60"/>
    <n v="21488.73"/>
    <n v="83"/>
    <x v="1"/>
    <n v="46.745152354570635"/>
    <s v="Obese"/>
    <s v="Dr. Anita Sanchez"/>
  </r>
  <r>
    <s v="PT-1059"/>
    <x v="60"/>
    <n v="87"/>
    <x v="0"/>
    <x v="11"/>
    <s v="Unknown"/>
    <x v="5"/>
    <n v="153"/>
    <n v="45"/>
    <s v="Yes"/>
    <s v="No"/>
    <x v="4"/>
    <x v="61"/>
    <x v="61"/>
    <x v="61"/>
    <n v="14827.63"/>
    <n v="45"/>
    <x v="2"/>
    <n v="19.223375624759708"/>
    <s v="Normal"/>
    <s v="Dr. Rahul Nair"/>
  </r>
  <r>
    <s v="PT-1060"/>
    <x v="61"/>
    <n v="72"/>
    <x v="1"/>
    <x v="2"/>
    <s v="O+"/>
    <x v="16"/>
    <n v="182.6"/>
    <s v="Invalid"/>
    <s v="No"/>
    <s v="No"/>
    <x v="6"/>
    <x v="62"/>
    <x v="62"/>
    <x v="62"/>
    <n v="20518.93"/>
    <n v="30"/>
    <x v="2"/>
    <s v="Unknown"/>
    <s v="Unknown"/>
    <s v="Dr. Sunita Zhang"/>
  </r>
  <r>
    <s v="PT-1061"/>
    <x v="62"/>
    <n v="89"/>
    <x v="1"/>
    <x v="1"/>
    <s v="Unknown"/>
    <x v="4"/>
    <n v="175"/>
    <n v="75.599999999999994"/>
    <s v="Unknown"/>
    <s v="No"/>
    <x v="9"/>
    <x v="63"/>
    <x v="63"/>
    <x v="63"/>
    <n v="4280.78"/>
    <n v="35"/>
    <x v="2"/>
    <n v="24.685714285714283"/>
    <s v="Normal"/>
    <s v="Dr. Vikram Khan"/>
  </r>
  <r>
    <s v="PT-1062"/>
    <x v="63"/>
    <n v="83"/>
    <x v="1"/>
    <x v="3"/>
    <s v="Ab-"/>
    <x v="1"/>
    <n v="164.1"/>
    <n v="99"/>
    <s v="Unknown"/>
    <s v="No"/>
    <x v="5"/>
    <x v="64"/>
    <x v="64"/>
    <x v="64"/>
    <n v="46245.64"/>
    <n v="1"/>
    <x v="2"/>
    <n v="36.763600025400308"/>
    <s v="Obese"/>
    <s v="Dr. Arvind Chen"/>
  </r>
  <r>
    <s v="PT-1063"/>
    <x v="64"/>
    <n v="57"/>
    <x v="0"/>
    <x v="8"/>
    <s v="A+"/>
    <x v="0"/>
    <n v="165"/>
    <n v="81"/>
    <s v="No"/>
    <s v="Yes"/>
    <x v="3"/>
    <x v="65"/>
    <x v="65"/>
    <x v="65"/>
    <n v="29906.95"/>
    <n v="107"/>
    <x v="1"/>
    <n v="29.752066115702483"/>
    <s v="Overweight"/>
    <s v="Dr. Vikram Wang"/>
  </r>
  <r>
    <s v="PT-1064"/>
    <x v="65"/>
    <n v="84"/>
    <x v="1"/>
    <x v="9"/>
    <s v="Unknown"/>
    <x v="5"/>
    <n v="194"/>
    <n v="115"/>
    <s v="Yes"/>
    <s v="Unknown"/>
    <x v="3"/>
    <x v="66"/>
    <x v="66"/>
    <x v="66"/>
    <n v="35527.269999999997"/>
    <n v="107"/>
    <x v="2"/>
    <n v="30.555850781166971"/>
    <s v="Obese"/>
    <s v="Dr. Vikram Wang"/>
  </r>
  <r>
    <s v="PT-1065"/>
    <x v="66"/>
    <n v="44"/>
    <x v="0"/>
    <x v="6"/>
    <s v="A-"/>
    <x v="15"/>
    <n v="181.5"/>
    <n v="101.1"/>
    <s v="Yes"/>
    <s v="Unknown"/>
    <x v="8"/>
    <x v="67"/>
    <x v="67"/>
    <x v="67"/>
    <n v="4534.3500000000004"/>
    <n v="34"/>
    <x v="1"/>
    <n v="30.690071261070507"/>
    <s v="Obese"/>
    <s v="Dr. Vikram Torres"/>
  </r>
  <r>
    <s v="PT-1066"/>
    <x v="67"/>
    <n v="11"/>
    <x v="0"/>
    <x v="15"/>
    <s v="Ab+"/>
    <x v="13"/>
    <n v="181.2"/>
    <n v="78.099999999999994"/>
    <s v="Yes"/>
    <s v="No"/>
    <x v="10"/>
    <x v="68"/>
    <x v="68"/>
    <x v="68"/>
    <n v="17415.75"/>
    <n v="83"/>
    <x v="0"/>
    <n v="23.786724753787603"/>
    <s v="Normal"/>
    <s v="Dr. Anita Sanchez"/>
  </r>
  <r>
    <s v="PT-1067"/>
    <x v="68"/>
    <n v="65"/>
    <x v="0"/>
    <x v="15"/>
    <s v="A-"/>
    <x v="9"/>
    <n v="183"/>
    <n v="54"/>
    <s v="Unknown"/>
    <s v="No"/>
    <x v="4"/>
    <x v="69"/>
    <x v="69"/>
    <x v="69"/>
    <n v="22164.83"/>
    <n v="45"/>
    <x v="2"/>
    <n v="16.124697661918837"/>
    <s v="Underweight"/>
    <s v="Dr. Rahul Nair"/>
  </r>
  <r>
    <s v="PT-1068"/>
    <x v="69"/>
    <n v="58"/>
    <x v="1"/>
    <x v="15"/>
    <s v="Ab-"/>
    <x v="8"/>
    <n v="187"/>
    <n v="125.2"/>
    <s v="No"/>
    <s v="Yes"/>
    <x v="4"/>
    <x v="70"/>
    <x v="70"/>
    <x v="70"/>
    <n v="26609.26"/>
    <n v="45"/>
    <x v="1"/>
    <n v="35.803139923932619"/>
    <s v="Obese"/>
    <s v="Dr. Rahul Nair"/>
  </r>
  <r>
    <s v="PT-1069"/>
    <x v="70"/>
    <n v="48"/>
    <x v="2"/>
    <x v="1"/>
    <s v="B-"/>
    <x v="8"/>
    <n v="165"/>
    <n v="121"/>
    <s v="No"/>
    <s v="No"/>
    <x v="7"/>
    <x v="71"/>
    <x v="71"/>
    <x v="71"/>
    <n v="44289.17"/>
    <n v="30"/>
    <x v="1"/>
    <n v="44.44444444444445"/>
    <s v="Obese"/>
    <s v="Dr. Meera Torres"/>
  </r>
  <r>
    <s v="PT-1070"/>
    <x v="71"/>
    <n v="29"/>
    <x v="0"/>
    <x v="9"/>
    <s v="B-"/>
    <x v="15"/>
    <n v="188"/>
    <n v="65.8"/>
    <s v="Unknown"/>
    <s v="Yes"/>
    <x v="4"/>
    <x v="72"/>
    <x v="72"/>
    <x v="72"/>
    <n v="30959.74"/>
    <n v="45"/>
    <x v="1"/>
    <n v="18.617021276595747"/>
    <s v="Normal"/>
    <s v="Dr. Rahul Nair"/>
  </r>
  <r>
    <s v="PT-1071"/>
    <x v="72"/>
    <n v="55"/>
    <x v="1"/>
    <x v="7"/>
    <s v="B+"/>
    <x v="6"/>
    <n v="194.8"/>
    <n v="96"/>
    <s v="No"/>
    <s v="No"/>
    <x v="6"/>
    <x v="73"/>
    <x v="73"/>
    <x v="73"/>
    <n v="26011.1"/>
    <n v="30"/>
    <x v="1"/>
    <n v="25.298415897524546"/>
    <s v="Overweight"/>
    <s v="Dr. Sunita Zhang"/>
  </r>
  <r>
    <s v="PT-1072"/>
    <x v="73"/>
    <n v="86"/>
    <x v="0"/>
    <x v="1"/>
    <s v="O+"/>
    <x v="16"/>
    <n v="171.6"/>
    <n v="82.3"/>
    <s v="No"/>
    <s v="Yes"/>
    <x v="0"/>
    <x v="74"/>
    <x v="74"/>
    <x v="74"/>
    <n v="39531.74"/>
    <n v="42"/>
    <x v="2"/>
    <n v="27.948935291592637"/>
    <s v="Overweight"/>
    <s v="Dr. Sunita Sanchez"/>
  </r>
  <r>
    <s v="PT-1073"/>
    <x v="74"/>
    <n v="6"/>
    <x v="1"/>
    <x v="15"/>
    <s v="O+"/>
    <x v="15"/>
    <n v="176"/>
    <n v="83"/>
    <s v="Yes"/>
    <s v="No"/>
    <x v="0"/>
    <x v="75"/>
    <x v="75"/>
    <x v="75"/>
    <n v="0"/>
    <n v="42"/>
    <x v="0"/>
    <n v="26.794938016528928"/>
    <s v="Overweight"/>
    <s v="Dr. Sunita Sanchez"/>
  </r>
  <r>
    <s v="PT-1074"/>
    <x v="75"/>
    <n v="61"/>
    <x v="0"/>
    <x v="2"/>
    <s v="Ab+"/>
    <x v="8"/>
    <n v="159"/>
    <n v="111.9"/>
    <s v="No"/>
    <s v="Unknown"/>
    <x v="5"/>
    <x v="76"/>
    <x v="76"/>
    <x v="76"/>
    <n v="48699.32"/>
    <n v="1"/>
    <x v="2"/>
    <n v="44.262489616708201"/>
    <s v="Obese"/>
    <s v="Dr. Arvind Chen"/>
  </r>
  <r>
    <s v="PT-1075"/>
    <x v="76"/>
    <n v="11"/>
    <x v="0"/>
    <x v="6"/>
    <s v="O-"/>
    <x v="12"/>
    <n v="191"/>
    <n v="67.599999999999994"/>
    <s v="Yes"/>
    <s v="Unknown"/>
    <x v="5"/>
    <x v="77"/>
    <x v="77"/>
    <x v="77"/>
    <n v="2596.58"/>
    <n v="37"/>
    <x v="0"/>
    <n v="18.530193799512073"/>
    <s v="Normal"/>
    <s v="Dr. Arvind Chen"/>
  </r>
  <r>
    <s v="PT-1076"/>
    <x v="77"/>
    <n v="47"/>
    <x v="2"/>
    <x v="0"/>
    <s v="O-"/>
    <x v="4"/>
    <n v="161.4"/>
    <s v="Invalid"/>
    <s v="No"/>
    <s v="No"/>
    <x v="4"/>
    <x v="78"/>
    <x v="78"/>
    <x v="78"/>
    <n v="19451.29"/>
    <n v="45"/>
    <x v="1"/>
    <s v="Unknown"/>
    <s v="Unknown"/>
    <s v="Dr. Rahul Nair"/>
  </r>
  <r>
    <s v="PT-1077"/>
    <x v="66"/>
    <n v="18"/>
    <x v="2"/>
    <x v="2"/>
    <s v="Ab+"/>
    <x v="3"/>
    <n v="171.6"/>
    <s v="Invalid"/>
    <s v="Yes"/>
    <s v="No"/>
    <x v="1"/>
    <x v="79"/>
    <x v="79"/>
    <x v="79"/>
    <n v="6329.17"/>
    <n v="38"/>
    <x v="0"/>
    <s v="Unknown"/>
    <s v="Unknown"/>
    <s v="Dr. Arvind Wilson"/>
  </r>
  <r>
    <s v="PT-1078"/>
    <x v="78"/>
    <n v="26"/>
    <x v="1"/>
    <x v="3"/>
    <s v="B+"/>
    <x v="7"/>
    <n v="193"/>
    <n v="127.1"/>
    <s v="Unknown"/>
    <s v="No"/>
    <x v="0"/>
    <x v="80"/>
    <x v="80"/>
    <x v="80"/>
    <n v="27337.48"/>
    <n v="42"/>
    <x v="1"/>
    <n v="34.121721388493647"/>
    <s v="Obese"/>
    <s v="Dr. Sunita Sanchez"/>
  </r>
  <r>
    <s v="PT-1079"/>
    <x v="79"/>
    <n v="16"/>
    <x v="1"/>
    <x v="3"/>
    <s v="Ab-"/>
    <x v="15"/>
    <n v="160.9"/>
    <n v="128"/>
    <s v="Unknown"/>
    <s v="No"/>
    <x v="3"/>
    <x v="81"/>
    <x v="81"/>
    <x v="81"/>
    <n v="49979.95"/>
    <n v="1"/>
    <x v="0"/>
    <n v="49.44221074665078"/>
    <s v="Obese"/>
    <s v="Dr. Vikram Wang"/>
  </r>
  <r>
    <s v="PT-1080"/>
    <x v="80"/>
    <n v="10"/>
    <x v="1"/>
    <x v="10"/>
    <s v="O+"/>
    <x v="18"/>
    <n v="150"/>
    <n v="52"/>
    <s v="No"/>
    <s v="Yes"/>
    <x v="3"/>
    <x v="33"/>
    <x v="33"/>
    <x v="33"/>
    <n v="8517.36"/>
    <n v="107"/>
    <x v="0"/>
    <n v="23.111111111111111"/>
    <s v="Normal"/>
    <s v="Dr. Vikram Wang"/>
  </r>
  <r>
    <s v="PT-1081"/>
    <x v="81"/>
    <n v="82"/>
    <x v="2"/>
    <x v="5"/>
    <s v="O+"/>
    <x v="13"/>
    <n v="175.3"/>
    <n v="92"/>
    <s v="Unknown"/>
    <s v="No"/>
    <x v="0"/>
    <x v="82"/>
    <x v="82"/>
    <x v="82"/>
    <n v="2539.12"/>
    <n v="42"/>
    <x v="2"/>
    <n v="29.938083487552426"/>
    <s v="Overweight"/>
    <s v="Dr. Sunita Sanchez"/>
  </r>
  <r>
    <s v="PT-1082"/>
    <x v="82"/>
    <n v="74"/>
    <x v="0"/>
    <x v="6"/>
    <s v="A+"/>
    <x v="5"/>
    <n v="189"/>
    <n v="112.4"/>
    <s v="Yes"/>
    <s v="No"/>
    <x v="3"/>
    <x v="35"/>
    <x v="35"/>
    <x v="35"/>
    <n v="22260.47"/>
    <n v="107"/>
    <x v="2"/>
    <n v="31.466084376137289"/>
    <s v="Obese"/>
    <s v="Dr. Vikram Wang"/>
  </r>
  <r>
    <s v="PT-1083"/>
    <x v="83"/>
    <n v="52"/>
    <x v="0"/>
    <x v="7"/>
    <s v="O+"/>
    <x v="5"/>
    <n v="158.80000000000001"/>
    <n v="80"/>
    <s v="No"/>
    <s v="Yes"/>
    <x v="10"/>
    <x v="83"/>
    <x v="83"/>
    <x v="83"/>
    <n v="21197.67"/>
    <n v="83"/>
    <x v="1"/>
    <n v="31.724076670748492"/>
    <s v="Obese"/>
    <s v="Dr. Anita Sanchez"/>
  </r>
  <r>
    <s v="PT-1084"/>
    <x v="84"/>
    <n v="66"/>
    <x v="1"/>
    <x v="13"/>
    <s v="B+"/>
    <x v="5"/>
    <n v="194.7"/>
    <n v="85"/>
    <s v="No"/>
    <s v="No"/>
    <x v="10"/>
    <x v="84"/>
    <x v="84"/>
    <x v="84"/>
    <n v="14427.14"/>
    <n v="83"/>
    <x v="2"/>
    <n v="22.42265437272097"/>
    <s v="Normal"/>
    <s v="Dr. Anita Sanchez"/>
  </r>
  <r>
    <s v="PT-1085"/>
    <x v="85"/>
    <n v="18"/>
    <x v="0"/>
    <x v="0"/>
    <s v="O+"/>
    <x v="15"/>
    <n v="172"/>
    <n v="57.5"/>
    <s v="No"/>
    <s v="Yes"/>
    <x v="1"/>
    <x v="85"/>
    <x v="85"/>
    <x v="85"/>
    <n v="14346.17"/>
    <n v="38"/>
    <x v="0"/>
    <n v="19.43618171984857"/>
    <s v="Normal"/>
    <s v="Dr. Arvind Wilson"/>
  </r>
  <r>
    <s v="PT-1086"/>
    <x v="86"/>
    <n v="72"/>
    <x v="1"/>
    <x v="7"/>
    <s v="O+"/>
    <x v="19"/>
    <n v="165"/>
    <s v="Invalid"/>
    <s v="Unknown"/>
    <s v="No"/>
    <x v="4"/>
    <x v="86"/>
    <x v="86"/>
    <x v="86"/>
    <n v="23120.93"/>
    <n v="45"/>
    <x v="2"/>
    <s v="Unknown"/>
    <s v="Unknown"/>
    <s v="Dr. Rahul Nair"/>
  </r>
  <r>
    <s v="PT-1087"/>
    <x v="87"/>
    <n v="95"/>
    <x v="1"/>
    <x v="8"/>
    <s v="O+"/>
    <x v="5"/>
    <n v="160"/>
    <n v="41.5"/>
    <s v="Unknown"/>
    <s v="No"/>
    <x v="11"/>
    <x v="87"/>
    <x v="87"/>
    <x v="87"/>
    <n v="43668.91"/>
    <n v="31"/>
    <x v="2"/>
    <n v="16.210937499999996"/>
    <s v="Underweight"/>
    <s v="Dr. Suresh Johnson"/>
  </r>
  <r>
    <s v="PT-1088"/>
    <x v="88"/>
    <n v="75"/>
    <x v="1"/>
    <x v="4"/>
    <s v="Ab+"/>
    <x v="18"/>
    <n v="172"/>
    <n v="79.7"/>
    <s v="Yes"/>
    <s v="Yes"/>
    <x v="0"/>
    <x v="88"/>
    <x v="88"/>
    <x v="88"/>
    <n v="25340.07"/>
    <n v="42"/>
    <x v="2"/>
    <n v="26.940237966468366"/>
    <s v="Overweight"/>
    <s v="Dr. Sunita Sanchez"/>
  </r>
  <r>
    <s v="PT-1089"/>
    <x v="57"/>
    <n v="72"/>
    <x v="1"/>
    <x v="2"/>
    <s v="Unknown"/>
    <x v="5"/>
    <n v="158"/>
    <n v="70.8"/>
    <s v="Unknown"/>
    <s v="Unknown"/>
    <x v="2"/>
    <x v="89"/>
    <x v="89"/>
    <x v="89"/>
    <n v="24466.92"/>
    <n v="35"/>
    <x v="2"/>
    <n v="28.360839609037008"/>
    <s v="Overweight"/>
    <s v="Dr. Neha Liu"/>
  </r>
  <r>
    <s v="PT-1090"/>
    <x v="89"/>
    <n v="63"/>
    <x v="1"/>
    <x v="13"/>
    <s v="O+"/>
    <x v="12"/>
    <n v="162"/>
    <n v="91.6"/>
    <s v="No"/>
    <s v="No"/>
    <x v="4"/>
    <x v="90"/>
    <x v="90"/>
    <x v="90"/>
    <n v="2582.29"/>
    <n v="45"/>
    <x v="2"/>
    <n v="34.90321597317481"/>
    <s v="Obese"/>
    <s v="Dr. Rahul Nair"/>
  </r>
  <r>
    <s v="PT-1091"/>
    <x v="90"/>
    <n v="69"/>
    <x v="0"/>
    <x v="15"/>
    <s v="A+"/>
    <x v="18"/>
    <n v="150.6"/>
    <n v="100"/>
    <s v="Unknown"/>
    <s v="No"/>
    <x v="3"/>
    <x v="43"/>
    <x v="43"/>
    <x v="43"/>
    <n v="16849.53"/>
    <n v="107"/>
    <x v="2"/>
    <n v="44.091010901061537"/>
    <s v="Obese"/>
    <s v="Dr. Vikram Wang"/>
  </r>
  <r>
    <s v="PT-1092"/>
    <x v="91"/>
    <n v="61"/>
    <x v="1"/>
    <x v="9"/>
    <s v="Ab+"/>
    <x v="15"/>
    <n v="192.9"/>
    <n v="48"/>
    <s v="Yes"/>
    <s v="Unknown"/>
    <x v="0"/>
    <x v="91"/>
    <x v="91"/>
    <x v="91"/>
    <n v="21185.31"/>
    <n v="42"/>
    <x v="2"/>
    <n v="12.899615994556362"/>
    <s v="Underweight"/>
    <s v="Dr. Sunita Sanchez"/>
  </r>
  <r>
    <s v="PT-1093"/>
    <x v="92"/>
    <n v="38"/>
    <x v="0"/>
    <x v="9"/>
    <s v="B+"/>
    <x v="0"/>
    <s v="Invalid"/>
    <n v="129"/>
    <s v="Yes"/>
    <s v="Yes"/>
    <x v="5"/>
    <x v="92"/>
    <x v="92"/>
    <x v="92"/>
    <n v="40536.29"/>
    <n v="37"/>
    <x v="1"/>
    <s v="Unknown"/>
    <s v="Unknown"/>
    <s v="Dr. Arvind Chen"/>
  </r>
  <r>
    <s v="PT-1094"/>
    <x v="93"/>
    <n v="38"/>
    <x v="2"/>
    <x v="2"/>
    <s v="Ab+"/>
    <x v="14"/>
    <n v="150.9"/>
    <n v="86"/>
    <s v="No"/>
    <s v="Unknown"/>
    <x v="3"/>
    <x v="93"/>
    <x v="93"/>
    <x v="93"/>
    <n v="24133.98"/>
    <n v="107"/>
    <x v="1"/>
    <n v="37.767650777464652"/>
    <s v="Obese"/>
    <s v="Dr. Vikram Wang"/>
  </r>
  <r>
    <s v="PT-1095"/>
    <x v="94"/>
    <n v="93"/>
    <x v="2"/>
    <x v="9"/>
    <s v="A+"/>
    <x v="13"/>
    <n v="184"/>
    <n v="54.4"/>
    <s v="Unknown"/>
    <s v="No"/>
    <x v="2"/>
    <x v="47"/>
    <x v="47"/>
    <x v="47"/>
    <n v="30923.96"/>
    <n v="35"/>
    <x v="2"/>
    <n v="16.068052930056709"/>
    <s v="Underweight"/>
    <s v="Dr. Neha Liu"/>
  </r>
  <r>
    <s v="PT-1096"/>
    <x v="95"/>
    <n v="61"/>
    <x v="0"/>
    <x v="15"/>
    <s v="Ab+"/>
    <x v="15"/>
    <n v="183"/>
    <n v="87.5"/>
    <s v="No"/>
    <s v="No"/>
    <x v="3"/>
    <x v="94"/>
    <x v="94"/>
    <x v="94"/>
    <n v="45192.959999999999"/>
    <n v="7"/>
    <x v="2"/>
    <n v="26.12798232255367"/>
    <s v="Overweight"/>
    <s v="Dr. Vikram Wang"/>
  </r>
  <r>
    <s v="PT-1097"/>
    <x v="37"/>
    <n v="75"/>
    <x v="1"/>
    <x v="1"/>
    <s v="Ab-"/>
    <x v="15"/>
    <n v="172"/>
    <n v="81"/>
    <s v="Yes"/>
    <s v="No"/>
    <x v="2"/>
    <x v="95"/>
    <x v="95"/>
    <x v="95"/>
    <n v="1577.64"/>
    <n v="35"/>
    <x v="2"/>
    <n v="27.379664683612766"/>
    <s v="Overweight"/>
    <s v="Dr. Neha Liu"/>
  </r>
  <r>
    <s v="PT-1098"/>
    <x v="96"/>
    <n v="70"/>
    <x v="0"/>
    <x v="1"/>
    <s v="Unknown"/>
    <x v="18"/>
    <n v="188.9"/>
    <n v="128"/>
    <s v="No"/>
    <s v="Yes"/>
    <x v="5"/>
    <x v="96"/>
    <x v="96"/>
    <x v="96"/>
    <n v="4472.37"/>
    <n v="37"/>
    <x v="2"/>
    <n v="35.871212259210985"/>
    <s v="Obese"/>
    <s v="Dr. Arvind Chen"/>
  </r>
  <r>
    <s v="PT-1099"/>
    <x v="97"/>
    <n v="68"/>
    <x v="0"/>
    <x v="0"/>
    <s v="Ab-"/>
    <x v="15"/>
    <n v="174"/>
    <s v="Invalid"/>
    <s v="Yes"/>
    <s v="No"/>
    <x v="2"/>
    <x v="97"/>
    <x v="97"/>
    <x v="97"/>
    <n v="19274.189999999999"/>
    <n v="35"/>
    <x v="2"/>
    <s v="Unknown"/>
    <s v="Unknown"/>
    <s v="Dr. Neha Liu"/>
  </r>
  <r>
    <s v="PT-1100"/>
    <x v="98"/>
    <n v="79"/>
    <x v="0"/>
    <x v="9"/>
    <s v="Ab-"/>
    <x v="19"/>
    <n v="165"/>
    <n v="100"/>
    <s v="No"/>
    <s v="Unknown"/>
    <x v="3"/>
    <x v="98"/>
    <x v="98"/>
    <x v="98"/>
    <n v="12099.79"/>
    <n v="107"/>
    <x v="2"/>
    <n v="36.730945821854917"/>
    <s v="Obese"/>
    <s v="Dr. Vikram Wang"/>
  </r>
  <r>
    <s v="PT-1101"/>
    <x v="99"/>
    <n v="74"/>
    <x v="1"/>
    <x v="11"/>
    <s v="O+"/>
    <x v="6"/>
    <n v="188"/>
    <n v="65"/>
    <s v="Unknown"/>
    <s v="Unknown"/>
    <x v="11"/>
    <x v="99"/>
    <x v="99"/>
    <x v="99"/>
    <n v="48628.37"/>
    <n v="1"/>
    <x v="2"/>
    <n v="18.390674513354462"/>
    <s v="Underweight"/>
    <s v="Dr. Suresh Johnson"/>
  </r>
  <r>
    <s v="PT-1102"/>
    <x v="100"/>
    <n v="24"/>
    <x v="0"/>
    <x v="15"/>
    <s v="Unknown"/>
    <x v="6"/>
    <n v="193"/>
    <n v="122.3"/>
    <s v="No"/>
    <s v="Yes"/>
    <x v="1"/>
    <x v="100"/>
    <x v="100"/>
    <x v="100"/>
    <n v="12521.5"/>
    <n v="38"/>
    <x v="3"/>
    <n v="32.833096190501756"/>
    <s v="Obese"/>
    <s v="Dr. Arvind Wilson"/>
  </r>
  <r>
    <s v="PT-1103"/>
    <x v="101"/>
    <n v="7"/>
    <x v="0"/>
    <x v="1"/>
    <s v="A-"/>
    <x v="4"/>
    <n v="175.2"/>
    <n v="118.3"/>
    <s v="Yes"/>
    <s v="Yes"/>
    <x v="9"/>
    <x v="101"/>
    <x v="101"/>
    <x v="101"/>
    <n v="6307.15"/>
    <n v="35"/>
    <x v="0"/>
    <n v="38.540428681637174"/>
    <s v="Obese"/>
    <s v="Dr. Vikram Khan"/>
  </r>
  <r>
    <s v="PT-1104"/>
    <x v="102"/>
    <n v="42"/>
    <x v="0"/>
    <x v="8"/>
    <s v="Ab+"/>
    <x v="7"/>
    <n v="169"/>
    <n v="119.5"/>
    <s v="No"/>
    <s v="Unknown"/>
    <x v="5"/>
    <x v="102"/>
    <x v="102"/>
    <x v="102"/>
    <n v="18849.89"/>
    <n v="37"/>
    <x v="1"/>
    <n v="41.840271699170202"/>
    <s v="Obese"/>
    <s v="Dr. Arvind Chen"/>
  </r>
  <r>
    <s v="PT-1105"/>
    <x v="103"/>
    <n v="75"/>
    <x v="1"/>
    <x v="14"/>
    <s v="B+"/>
    <x v="18"/>
    <s v="Invalid"/>
    <n v="98.9"/>
    <s v="Yes"/>
    <s v="No"/>
    <x v="0"/>
    <x v="103"/>
    <x v="103"/>
    <x v="103"/>
    <n v="8827.57"/>
    <n v="42"/>
    <x v="2"/>
    <s v="Unknown"/>
    <s v="Unknown"/>
    <s v="Dr. Sunita Sanchez"/>
  </r>
  <r>
    <s v="PT-1106"/>
    <x v="104"/>
    <n v="83"/>
    <x v="0"/>
    <x v="12"/>
    <s v="A-"/>
    <x v="15"/>
    <n v="184"/>
    <n v="77"/>
    <s v="No"/>
    <s v="Unknown"/>
    <x v="3"/>
    <x v="104"/>
    <x v="104"/>
    <x v="104"/>
    <n v="25533.78"/>
    <n v="107"/>
    <x v="2"/>
    <n v="22.743383742911153"/>
    <s v="Normal"/>
    <s v="Dr. Vikram Wang"/>
  </r>
  <r>
    <s v="PT-1107"/>
    <x v="105"/>
    <s v="Invalid"/>
    <x v="2"/>
    <x v="15"/>
    <s v="Unknown"/>
    <x v="4"/>
    <n v="151"/>
    <n v="88.2"/>
    <s v="Yes"/>
    <s v="Yes"/>
    <x v="8"/>
    <x v="45"/>
    <x v="45"/>
    <x v="45"/>
    <n v="5797.31"/>
    <n v="34"/>
    <x v="4"/>
    <n v="38.682513924827859"/>
    <s v="Obese"/>
    <s v="Dr. Vikram Torres"/>
  </r>
  <r>
    <s v="PT-1108"/>
    <x v="106"/>
    <n v="51"/>
    <x v="1"/>
    <x v="2"/>
    <s v="Ab+"/>
    <x v="7"/>
    <n v="160"/>
    <n v="115"/>
    <s v="Unknown"/>
    <s v="Unknown"/>
    <x v="4"/>
    <x v="105"/>
    <x v="105"/>
    <x v="105"/>
    <n v="20561.28"/>
    <n v="45"/>
    <x v="1"/>
    <n v="44.921874999999993"/>
    <s v="Obese"/>
    <s v="Dr. Rahul Nair"/>
  </r>
  <r>
    <s v="PT-1109"/>
    <x v="107"/>
    <n v="83"/>
    <x v="0"/>
    <x v="9"/>
    <s v="B-"/>
    <x v="5"/>
    <n v="152"/>
    <n v="123.2"/>
    <s v="Yes"/>
    <s v="No"/>
    <x v="2"/>
    <x v="51"/>
    <x v="51"/>
    <x v="51"/>
    <n v="46473.93"/>
    <n v="1"/>
    <x v="2"/>
    <n v="53.32409972299169"/>
    <s v="Obese"/>
    <s v="Dr. Neha Liu"/>
  </r>
  <r>
    <s v="PT-1110"/>
    <x v="108"/>
    <n v="73"/>
    <x v="1"/>
    <x v="11"/>
    <s v="Ab+"/>
    <x v="9"/>
    <n v="149.4"/>
    <n v="102"/>
    <s v="Yes"/>
    <s v="Unknown"/>
    <x v="10"/>
    <x v="106"/>
    <x v="106"/>
    <x v="106"/>
    <n v="22135.87"/>
    <n v="83"/>
    <x v="2"/>
    <n v="45.698187663639835"/>
    <s v="Obese"/>
    <s v="Dr. Anita Sanchez"/>
  </r>
  <r>
    <s v="PT-1111"/>
    <x v="109"/>
    <n v="82"/>
    <x v="0"/>
    <x v="10"/>
    <s v="Unknown"/>
    <x v="6"/>
    <n v="148"/>
    <n v="92.7"/>
    <s v="No"/>
    <s v="No"/>
    <x v="10"/>
    <x v="107"/>
    <x v="107"/>
    <x v="107"/>
    <n v="4138.58"/>
    <n v="83"/>
    <x v="2"/>
    <n v="42.32103725346969"/>
    <s v="Obese"/>
    <s v="Dr. Anita Sanchez"/>
  </r>
  <r>
    <s v="PT-1112"/>
    <x v="110"/>
    <n v="1"/>
    <x v="0"/>
    <x v="10"/>
    <s v="O+"/>
    <x v="15"/>
    <n v="194.2"/>
    <n v="90.1"/>
    <s v="No"/>
    <s v="Yes"/>
    <x v="3"/>
    <x v="108"/>
    <x v="108"/>
    <x v="108"/>
    <n v="5106.68"/>
    <n v="107"/>
    <x v="0"/>
    <n v="23.890560550506397"/>
    <s v="Normal"/>
    <s v="Dr. Vikram Wang"/>
  </r>
  <r>
    <s v="PT-1113"/>
    <x v="111"/>
    <n v="72"/>
    <x v="1"/>
    <x v="11"/>
    <s v="O-"/>
    <x v="9"/>
    <n v="155"/>
    <n v="53"/>
    <s v="No"/>
    <s v="Yes"/>
    <x v="11"/>
    <x v="109"/>
    <x v="109"/>
    <x v="109"/>
    <n v="39242"/>
    <n v="31"/>
    <x v="2"/>
    <n v="22.060353798126947"/>
    <s v="Normal"/>
    <s v="Dr. Suresh Johnson"/>
  </r>
  <r>
    <s v="PT-1114"/>
    <x v="112"/>
    <n v="18"/>
    <x v="0"/>
    <x v="9"/>
    <s v="Ab+"/>
    <x v="3"/>
    <n v="156.5"/>
    <n v="79"/>
    <s v="Yes"/>
    <s v="No"/>
    <x v="6"/>
    <x v="110"/>
    <x v="110"/>
    <x v="110"/>
    <n v="16052.07"/>
    <n v="30"/>
    <x v="0"/>
    <n v="32.255101103410269"/>
    <s v="Obese"/>
    <s v="Dr. Sunita Zhang"/>
  </r>
  <r>
    <s v="PT-1115"/>
    <x v="113"/>
    <n v="42"/>
    <x v="0"/>
    <x v="5"/>
    <s v="Ab+"/>
    <x v="3"/>
    <n v="167.7"/>
    <n v="89.5"/>
    <s v="Unknown"/>
    <s v="No"/>
    <x v="5"/>
    <x v="111"/>
    <x v="111"/>
    <x v="111"/>
    <n v="3923.35"/>
    <n v="37"/>
    <x v="1"/>
    <n v="31.824157130975795"/>
    <s v="Obese"/>
    <s v="Dr. Arvind Chen"/>
  </r>
  <r>
    <s v="PT-1116"/>
    <x v="114"/>
    <n v="92"/>
    <x v="0"/>
    <x v="1"/>
    <s v="B+"/>
    <x v="7"/>
    <n v="156.80000000000001"/>
    <n v="123.1"/>
    <s v="Yes"/>
    <s v="Yes"/>
    <x v="4"/>
    <x v="112"/>
    <x v="112"/>
    <x v="112"/>
    <n v="44827.33"/>
    <n v="19"/>
    <x v="2"/>
    <n v="50.068656289046224"/>
    <s v="Obese"/>
    <s v="Dr. Rahul Nair"/>
  </r>
  <r>
    <s v="PT-1117"/>
    <x v="115"/>
    <n v="83"/>
    <x v="2"/>
    <x v="2"/>
    <s v="Ab+"/>
    <x v="15"/>
    <n v="169.5"/>
    <s v="Invalid"/>
    <s v="Yes"/>
    <s v="No"/>
    <x v="1"/>
    <x v="113"/>
    <x v="113"/>
    <x v="113"/>
    <n v="29235.66"/>
    <n v="38"/>
    <x v="2"/>
    <s v="Unknown"/>
    <s v="Unknown"/>
    <s v="Dr. Arvind Wilson"/>
  </r>
  <r>
    <s v="PT-1118"/>
    <x v="74"/>
    <n v="4"/>
    <x v="1"/>
    <x v="1"/>
    <s v="B+"/>
    <x v="7"/>
    <n v="174"/>
    <n v="71"/>
    <s v="Yes"/>
    <s v="No"/>
    <x v="10"/>
    <x v="114"/>
    <x v="114"/>
    <x v="114"/>
    <n v="22189.21"/>
    <n v="83"/>
    <x v="0"/>
    <n v="23.450918219051392"/>
    <s v="Normal"/>
    <s v="Dr. Anita Sanchez"/>
  </r>
  <r>
    <s v="PT-1119"/>
    <x v="116"/>
    <n v="14"/>
    <x v="0"/>
    <x v="4"/>
    <s v="Ab-"/>
    <x v="5"/>
    <n v="171"/>
    <n v="60.9"/>
    <s v="Unknown"/>
    <s v="Yes"/>
    <x v="3"/>
    <x v="115"/>
    <x v="115"/>
    <x v="115"/>
    <n v="1945.02"/>
    <n v="107"/>
    <x v="0"/>
    <n v="20.826921103929415"/>
    <s v="Normal"/>
    <s v="Dr. Vikram Wang"/>
  </r>
  <r>
    <s v="PT-1120"/>
    <x v="117"/>
    <n v="91"/>
    <x v="0"/>
    <x v="1"/>
    <s v="B-"/>
    <x v="15"/>
    <n v="194.6"/>
    <n v="50.3"/>
    <s v="Yes"/>
    <s v="Unknown"/>
    <x v="10"/>
    <x v="116"/>
    <x v="116"/>
    <x v="116"/>
    <n v="19930.93"/>
    <n v="83"/>
    <x v="2"/>
    <n v="13.282576112065861"/>
    <s v="Underweight"/>
    <s v="Dr. Anita Sanchez"/>
  </r>
  <r>
    <s v="PT-1121"/>
    <x v="118"/>
    <n v="35"/>
    <x v="2"/>
    <x v="9"/>
    <s v="O+"/>
    <x v="0"/>
    <n v="160"/>
    <n v="125.7"/>
    <s v="Yes"/>
    <s v="No"/>
    <x v="10"/>
    <x v="117"/>
    <x v="117"/>
    <x v="117"/>
    <n v="10925.55"/>
    <n v="83"/>
    <x v="1"/>
    <n v="49.101562499999993"/>
    <s v="Obese"/>
    <s v="Dr. Anita Sanchez"/>
  </r>
  <r>
    <s v="PT-1121"/>
    <x v="119"/>
    <n v="87"/>
    <x v="0"/>
    <x v="9"/>
    <s v="B-"/>
    <x v="6"/>
    <n v="180"/>
    <n v="78"/>
    <s v="Unknown"/>
    <s v="Yes"/>
    <x v="11"/>
    <x v="118"/>
    <x v="118"/>
    <x v="118"/>
    <n v="31957.33"/>
    <n v="31"/>
    <x v="2"/>
    <n v="24.074074074074073"/>
    <s v="Normal"/>
    <s v="Dr. Suresh Johnson"/>
  </r>
  <r>
    <s v="PT-1122"/>
    <x v="91"/>
    <n v="41"/>
    <x v="1"/>
    <x v="10"/>
    <s v="A-"/>
    <x v="4"/>
    <n v="182"/>
    <n v="74.599999999999994"/>
    <s v="No"/>
    <s v="Unknown"/>
    <x v="5"/>
    <x v="119"/>
    <x v="119"/>
    <x v="119"/>
    <n v="42074.64"/>
    <n v="37"/>
    <x v="1"/>
    <n v="22.521434609346695"/>
    <s v="Normal"/>
    <s v="Dr. Arvind Chen"/>
  </r>
  <r>
    <s v="PT-1123"/>
    <x v="47"/>
    <n v="69"/>
    <x v="0"/>
    <x v="4"/>
    <s v="Ab-"/>
    <x v="0"/>
    <n v="168.7"/>
    <n v="64.099999999999994"/>
    <s v="Yes"/>
    <s v="Yes"/>
    <x v="4"/>
    <x v="120"/>
    <x v="120"/>
    <x v="120"/>
    <n v="11317.83"/>
    <n v="45"/>
    <x v="2"/>
    <n v="22.523084404643907"/>
    <s v="Normal"/>
    <s v="Dr. Rahul Nair"/>
  </r>
  <r>
    <s v="PT-1124"/>
    <x v="120"/>
    <s v="Invalid"/>
    <x v="1"/>
    <x v="1"/>
    <s v="Ab-"/>
    <x v="4"/>
    <n v="147.4"/>
    <n v="106.4"/>
    <s v="Unknown"/>
    <s v="No"/>
    <x v="2"/>
    <x v="121"/>
    <x v="121"/>
    <x v="121"/>
    <n v="30999.48"/>
    <n v="35"/>
    <x v="4"/>
    <n v="48.971866951169893"/>
    <s v="Obese"/>
    <s v="Dr. Neha Liu"/>
  </r>
  <r>
    <s v="PT-1125"/>
    <x v="121"/>
    <n v="22"/>
    <x v="1"/>
    <x v="3"/>
    <s v="B+"/>
    <x v="8"/>
    <n v="154.69999999999999"/>
    <n v="107.5"/>
    <s v="Yes"/>
    <s v="Yes"/>
    <x v="8"/>
    <x v="122"/>
    <x v="122"/>
    <x v="122"/>
    <n v="43370.9"/>
    <n v="34"/>
    <x v="3"/>
    <n v="44.918768064134817"/>
    <s v="Obese"/>
    <s v="Dr. Vikram Torres"/>
  </r>
  <r>
    <s v="PT-1126"/>
    <x v="108"/>
    <n v="35"/>
    <x v="0"/>
    <x v="14"/>
    <s v="Ab+"/>
    <x v="7"/>
    <n v="190.3"/>
    <n v="107.5"/>
    <s v="No"/>
    <s v="No"/>
    <x v="10"/>
    <x v="123"/>
    <x v="123"/>
    <x v="123"/>
    <n v="5110.51"/>
    <n v="83"/>
    <x v="1"/>
    <n v="29.684578571489716"/>
    <s v="Overweight"/>
    <s v="Dr. Anita Sanchez"/>
  </r>
  <r>
    <s v="PT-1127"/>
    <x v="122"/>
    <n v="28"/>
    <x v="1"/>
    <x v="5"/>
    <s v="O+"/>
    <x v="15"/>
    <n v="154"/>
    <n v="83.7"/>
    <s v="Unknown"/>
    <s v="Yes"/>
    <x v="3"/>
    <x v="124"/>
    <x v="124"/>
    <x v="124"/>
    <n v="39302.54"/>
    <n v="107"/>
    <x v="1"/>
    <n v="35.292629448473605"/>
    <s v="Obese"/>
    <s v="Dr. Vikram Wang"/>
  </r>
  <r>
    <s v="PT-1128"/>
    <x v="123"/>
    <n v="26"/>
    <x v="1"/>
    <x v="3"/>
    <s v="B+"/>
    <x v="14"/>
    <n v="176"/>
    <n v="62.5"/>
    <s v="Unknown"/>
    <s v="Unknown"/>
    <x v="3"/>
    <x v="125"/>
    <x v="125"/>
    <x v="125"/>
    <n v="31467.41"/>
    <n v="107"/>
    <x v="1"/>
    <n v="20.176911157024794"/>
    <s v="Normal"/>
    <s v="Dr. Vikram Wang"/>
  </r>
  <r>
    <s v="PT-1129"/>
    <x v="124"/>
    <n v="17"/>
    <x v="2"/>
    <x v="7"/>
    <s v="Ab-"/>
    <x v="4"/>
    <n v="186.9"/>
    <n v="50.9"/>
    <s v="Unknown"/>
    <s v="Yes"/>
    <x v="5"/>
    <x v="7"/>
    <x v="7"/>
    <x v="7"/>
    <n v="19461.96"/>
    <n v="37"/>
    <x v="0"/>
    <n v="14.571329520740669"/>
    <s v="Underweight"/>
    <s v="Dr. Arvind Chen"/>
  </r>
  <r>
    <s v="PT-1130"/>
    <x v="125"/>
    <n v="18"/>
    <x v="0"/>
    <x v="2"/>
    <s v="O+"/>
    <x v="16"/>
    <n v="176.4"/>
    <n v="105"/>
    <s v="No"/>
    <s v="No"/>
    <x v="2"/>
    <x v="126"/>
    <x v="126"/>
    <x v="126"/>
    <n v="4791.0600000000004"/>
    <n v="35"/>
    <x v="0"/>
    <n v="33.743656192635783"/>
    <s v="Obese"/>
    <s v="Dr. Neha Liu"/>
  </r>
  <r>
    <s v="PT-1131"/>
    <x v="126"/>
    <n v="18"/>
    <x v="1"/>
    <x v="5"/>
    <s v="B+"/>
    <x v="6"/>
    <n v="161"/>
    <n v="102.1"/>
    <s v="No"/>
    <s v="Yes"/>
    <x v="6"/>
    <x v="127"/>
    <x v="127"/>
    <x v="127"/>
    <n v="37518.26"/>
    <n v="30"/>
    <x v="0"/>
    <n v="39.388912464796874"/>
    <s v="Obese"/>
    <s v="Dr. Sunita Zhang"/>
  </r>
  <r>
    <s v="PT-1132"/>
    <x v="127"/>
    <n v="82"/>
    <x v="2"/>
    <x v="1"/>
    <s v="A+"/>
    <x v="3"/>
    <n v="191"/>
    <n v="101.5"/>
    <s v="No"/>
    <s v="Yes"/>
    <x v="6"/>
    <x v="128"/>
    <x v="128"/>
    <x v="128"/>
    <n v="0"/>
    <n v="30"/>
    <x v="2"/>
    <n v="27.822702228557333"/>
    <s v="Overweight"/>
    <s v="Dr. Sunita Zhang"/>
  </r>
  <r>
    <s v="PT-1133"/>
    <x v="128"/>
    <n v="54"/>
    <x v="0"/>
    <x v="3"/>
    <s v="Ab+"/>
    <x v="16"/>
    <n v="160"/>
    <n v="68"/>
    <s v="Yes"/>
    <s v="Yes"/>
    <x v="10"/>
    <x v="129"/>
    <x v="129"/>
    <x v="129"/>
    <n v="31897.57"/>
    <n v="83"/>
    <x v="1"/>
    <n v="26.562499999999996"/>
    <s v="Overweight"/>
    <s v="Dr. Anita Sanchez"/>
  </r>
  <r>
    <s v="PT-1134"/>
    <x v="129"/>
    <n v="8"/>
    <x v="1"/>
    <x v="1"/>
    <s v="Unknown"/>
    <x v="1"/>
    <n v="184.1"/>
    <n v="99"/>
    <s v="No"/>
    <s v="Yes"/>
    <x v="0"/>
    <x v="130"/>
    <x v="130"/>
    <x v="130"/>
    <n v="1061.8499999999999"/>
    <n v="42"/>
    <x v="0"/>
    <n v="29.209735044099325"/>
    <s v="Overweight"/>
    <s v="Dr. Sunita Sanchez"/>
  </r>
  <r>
    <s v="PT-1135"/>
    <x v="130"/>
    <n v="35"/>
    <x v="1"/>
    <x v="1"/>
    <s v="A+"/>
    <x v="3"/>
    <n v="193"/>
    <n v="128"/>
    <s v="No"/>
    <s v="No"/>
    <x v="1"/>
    <x v="131"/>
    <x v="131"/>
    <x v="131"/>
    <n v="25230.7"/>
    <n v="38"/>
    <x v="1"/>
    <n v="34.363338613117129"/>
    <s v="Obese"/>
    <s v="Dr. Arvind Wilson"/>
  </r>
  <r>
    <s v="PT-1136"/>
    <x v="131"/>
    <n v="95"/>
    <x v="2"/>
    <x v="9"/>
    <s v="A-"/>
    <x v="4"/>
    <n v="166.6"/>
    <n v="123"/>
    <s v="Yes"/>
    <s v="Yes"/>
    <x v="4"/>
    <x v="132"/>
    <x v="132"/>
    <x v="132"/>
    <n v="16429.2"/>
    <n v="45"/>
    <x v="2"/>
    <n v="44.315445265741353"/>
    <s v="Obese"/>
    <s v="Dr. Rahul Nair"/>
  </r>
  <r>
    <s v="PT-1137"/>
    <x v="132"/>
    <n v="7"/>
    <x v="0"/>
    <x v="7"/>
    <s v="A-"/>
    <x v="3"/>
    <n v="193.4"/>
    <n v="109.6"/>
    <s v="No"/>
    <s v="No"/>
    <x v="1"/>
    <x v="133"/>
    <x v="133"/>
    <x v="133"/>
    <n v="18761.509999999998"/>
    <n v="38"/>
    <x v="0"/>
    <n v="29.302023657641136"/>
    <s v="Overweight"/>
    <s v="Dr. Arvind Wilson"/>
  </r>
  <r>
    <s v="PT-1138"/>
    <x v="133"/>
    <n v="26"/>
    <x v="1"/>
    <x v="15"/>
    <s v="Ab-"/>
    <x v="18"/>
    <n v="146"/>
    <n v="61"/>
    <s v="Unknown"/>
    <s v="Unknown"/>
    <x v="7"/>
    <x v="134"/>
    <x v="134"/>
    <x v="134"/>
    <n v="572.37"/>
    <n v="35"/>
    <x v="1"/>
    <n v="28.617001313567279"/>
    <s v="Overweight"/>
    <s v="Dr. Meera Torres"/>
  </r>
  <r>
    <s v="PT-1139"/>
    <x v="134"/>
    <n v="63"/>
    <x v="0"/>
    <x v="3"/>
    <s v="A+"/>
    <x v="16"/>
    <n v="156"/>
    <n v="116.1"/>
    <s v="Unknown"/>
    <s v="No"/>
    <x v="5"/>
    <x v="135"/>
    <x v="135"/>
    <x v="135"/>
    <n v="5231.0600000000004"/>
    <n v="37"/>
    <x v="2"/>
    <n v="47.707100591715971"/>
    <s v="Obese"/>
    <s v="Dr. Arvind Chen"/>
  </r>
  <r>
    <s v="PT-1140"/>
    <x v="135"/>
    <n v="31"/>
    <x v="0"/>
    <x v="5"/>
    <s v="O+"/>
    <x v="15"/>
    <n v="146"/>
    <n v="64"/>
    <s v="No"/>
    <s v="Yes"/>
    <x v="4"/>
    <x v="136"/>
    <x v="136"/>
    <x v="136"/>
    <n v="5730.06"/>
    <n v="45"/>
    <x v="1"/>
    <n v="30.024394820791898"/>
    <s v="Obese"/>
    <s v="Dr. Rahul Nair"/>
  </r>
  <r>
    <s v="PT-1141"/>
    <x v="136"/>
    <n v="16"/>
    <x v="1"/>
    <x v="4"/>
    <s v="B+"/>
    <x v="15"/>
    <n v="156"/>
    <n v="70"/>
    <s v="Unknown"/>
    <s v="No"/>
    <x v="10"/>
    <x v="137"/>
    <x v="137"/>
    <x v="137"/>
    <n v="2923.06"/>
    <n v="83"/>
    <x v="0"/>
    <n v="28.763971071663377"/>
    <s v="Overweight"/>
    <s v="Dr. Anita Sanchez"/>
  </r>
  <r>
    <s v="PT-1142"/>
    <x v="137"/>
    <n v="13"/>
    <x v="1"/>
    <x v="1"/>
    <s v="O+"/>
    <x v="1"/>
    <n v="165"/>
    <n v="128"/>
    <s v="No"/>
    <s v="Yes"/>
    <x v="10"/>
    <x v="138"/>
    <x v="138"/>
    <x v="138"/>
    <n v="29512.880000000001"/>
    <n v="83"/>
    <x v="0"/>
    <n v="47.015610651974292"/>
    <s v="Obese"/>
    <s v="Dr. Anita Sanchez"/>
  </r>
  <r>
    <s v="PT-1143"/>
    <x v="138"/>
    <n v="43"/>
    <x v="1"/>
    <x v="2"/>
    <s v="Ab-"/>
    <x v="18"/>
    <n v="177"/>
    <n v="74.400000000000006"/>
    <s v="Yes"/>
    <s v="No"/>
    <x v="9"/>
    <x v="139"/>
    <x v="139"/>
    <x v="139"/>
    <n v="14352.8"/>
    <n v="35"/>
    <x v="1"/>
    <n v="23.747965144115675"/>
    <s v="Normal"/>
    <s v="Dr. Vikram Khan"/>
  </r>
  <r>
    <s v="PT-1144"/>
    <x v="139"/>
    <n v="62"/>
    <x v="0"/>
    <x v="1"/>
    <s v="A+"/>
    <x v="3"/>
    <n v="163.1"/>
    <n v="112"/>
    <s v="No"/>
    <s v="Unknown"/>
    <x v="10"/>
    <x v="140"/>
    <x v="140"/>
    <x v="140"/>
    <n v="39181.040000000001"/>
    <n v="83"/>
    <x v="2"/>
    <n v="42.102714835680999"/>
    <s v="Obese"/>
    <s v="Dr. Anita Sanchez"/>
  </r>
  <r>
    <s v="PT-1145"/>
    <x v="140"/>
    <n v="4"/>
    <x v="0"/>
    <x v="7"/>
    <s v="A+"/>
    <x v="18"/>
    <n v="164"/>
    <n v="130"/>
    <s v="No"/>
    <s v="No"/>
    <x v="2"/>
    <x v="141"/>
    <x v="141"/>
    <x v="141"/>
    <n v="26917.63"/>
    <n v="35"/>
    <x v="0"/>
    <n v="48.334324806662707"/>
    <s v="Obese"/>
    <s v="Dr. Neha Liu"/>
  </r>
  <r>
    <s v="PT-1146"/>
    <x v="141"/>
    <n v="46"/>
    <x v="1"/>
    <x v="4"/>
    <s v="O-"/>
    <x v="6"/>
    <n v="194.8"/>
    <n v="42.5"/>
    <s v="Unknown"/>
    <s v="No"/>
    <x v="3"/>
    <x v="142"/>
    <x v="142"/>
    <x v="142"/>
    <n v="27335.17"/>
    <n v="107"/>
    <x v="1"/>
    <n v="11.199819537966595"/>
    <s v="Underweight"/>
    <s v="Dr. Vikram Wang"/>
  </r>
  <r>
    <s v="PT-1147"/>
    <x v="142"/>
    <n v="43"/>
    <x v="2"/>
    <x v="0"/>
    <s v="O+"/>
    <x v="3"/>
    <n v="158"/>
    <s v="Invalid"/>
    <s v="Unknown"/>
    <s v="Unknown"/>
    <x v="7"/>
    <x v="143"/>
    <x v="143"/>
    <x v="143"/>
    <n v="42400.800000000003"/>
    <n v="35"/>
    <x v="1"/>
    <s v="Unknown"/>
    <s v="Unknown"/>
    <s v="Dr. Meera Torres"/>
  </r>
  <r>
    <s v="PT-1148"/>
    <x v="143"/>
    <n v="42"/>
    <x v="0"/>
    <x v="4"/>
    <s v="Unknown"/>
    <x v="15"/>
    <n v="146"/>
    <n v="127.2"/>
    <s v="No"/>
    <s v="Unknown"/>
    <x v="6"/>
    <x v="144"/>
    <x v="144"/>
    <x v="144"/>
    <n v="15687.75"/>
    <n v="30"/>
    <x v="1"/>
    <n v="59.673484706323897"/>
    <s v="Obese"/>
    <s v="Dr. Sunita Zhang"/>
  </r>
  <r>
    <s v="PT-1149"/>
    <x v="144"/>
    <n v="73"/>
    <x v="0"/>
    <x v="4"/>
    <s v="O+"/>
    <x v="15"/>
    <n v="175"/>
    <n v="53"/>
    <s v="No"/>
    <s v="No"/>
    <x v="10"/>
    <x v="145"/>
    <x v="145"/>
    <x v="145"/>
    <n v="44323.35"/>
    <n v="78"/>
    <x v="2"/>
    <n v="17.306122448979593"/>
    <s v="Underweight"/>
    <s v="Dr. Anita Sanchez"/>
  </r>
  <r>
    <s v="PT-1150"/>
    <x v="145"/>
    <n v="89"/>
    <x v="1"/>
    <x v="2"/>
    <s v="A+"/>
    <x v="15"/>
    <n v="151"/>
    <n v="78"/>
    <s v="No"/>
    <s v="No"/>
    <x v="7"/>
    <x v="146"/>
    <x v="146"/>
    <x v="146"/>
    <n v="27528.19"/>
    <n v="35"/>
    <x v="2"/>
    <n v="34.209025919915796"/>
    <s v="Obese"/>
    <s v="Dr. Meera Torres"/>
  </r>
  <r>
    <s v="PT-1151"/>
    <x v="146"/>
    <n v="5"/>
    <x v="0"/>
    <x v="9"/>
    <s v="O+"/>
    <x v="2"/>
    <n v="174.4"/>
    <n v="54"/>
    <s v="Yes"/>
    <s v="No"/>
    <x v="10"/>
    <x v="147"/>
    <x v="147"/>
    <x v="147"/>
    <n v="2034.16"/>
    <n v="83"/>
    <x v="0"/>
    <n v="17.754187357966501"/>
    <s v="Underweight"/>
    <s v="Dr. Anita Sanchez"/>
  </r>
  <r>
    <s v="PT-1152"/>
    <x v="147"/>
    <n v="25"/>
    <x v="0"/>
    <x v="3"/>
    <s v="A+"/>
    <x v="9"/>
    <n v="157"/>
    <n v="89.5"/>
    <s v="Yes"/>
    <s v="Yes"/>
    <x v="10"/>
    <x v="148"/>
    <x v="148"/>
    <x v="148"/>
    <n v="4837.6000000000004"/>
    <n v="83"/>
    <x v="3"/>
    <n v="36.30978944379082"/>
    <s v="Obese"/>
    <s v="Dr. Anita Sanchez"/>
  </r>
  <r>
    <s v="PT-1153"/>
    <x v="148"/>
    <n v="11"/>
    <x v="1"/>
    <x v="1"/>
    <s v="B+"/>
    <x v="15"/>
    <n v="172"/>
    <n v="89"/>
    <s v="No"/>
    <s v="Yes"/>
    <x v="10"/>
    <x v="149"/>
    <x v="149"/>
    <x v="149"/>
    <n v="2708.54"/>
    <n v="83"/>
    <x v="0"/>
    <n v="30.08382909680909"/>
    <s v="Obese"/>
    <s v="Dr. Anita Sanchez"/>
  </r>
  <r>
    <s v="PT-1153"/>
    <x v="149"/>
    <n v="27"/>
    <x v="1"/>
    <x v="0"/>
    <s v="O+"/>
    <x v="19"/>
    <n v="165"/>
    <n v="59.9"/>
    <s v="No"/>
    <s v="No"/>
    <x v="3"/>
    <x v="150"/>
    <x v="150"/>
    <x v="150"/>
    <n v="23332.63"/>
    <n v="107"/>
    <x v="1"/>
    <n v="22.001836547291095"/>
    <s v="Normal"/>
    <s v="Dr. Vikram Wang"/>
  </r>
  <r>
    <s v="PT-1154"/>
    <x v="135"/>
    <n v="13"/>
    <x v="1"/>
    <x v="2"/>
    <s v="O+"/>
    <x v="15"/>
    <n v="184.4"/>
    <n v="115.7"/>
    <s v="Yes"/>
    <s v="Unknown"/>
    <x v="8"/>
    <x v="151"/>
    <x v="151"/>
    <x v="151"/>
    <n v="44141.87"/>
    <n v="34"/>
    <x v="0"/>
    <n v="34.026049190432943"/>
    <s v="Obese"/>
    <s v="Dr. Vikram Torres"/>
  </r>
  <r>
    <s v="PT-1155"/>
    <x v="150"/>
    <n v="74"/>
    <x v="0"/>
    <x v="6"/>
    <s v="O+"/>
    <x v="1"/>
    <n v="176"/>
    <n v="113"/>
    <s v="Yes"/>
    <s v="Yes"/>
    <x v="3"/>
    <x v="152"/>
    <x v="152"/>
    <x v="152"/>
    <n v="49864.83"/>
    <n v="1"/>
    <x v="2"/>
    <n v="36.479855371900825"/>
    <s v="Obese"/>
    <s v="Dr. Vikram Wang"/>
  </r>
  <r>
    <s v="PT-1156"/>
    <x v="151"/>
    <n v="71"/>
    <x v="1"/>
    <x v="5"/>
    <s v="Ab-"/>
    <x v="4"/>
    <n v="183"/>
    <n v="92.9"/>
    <s v="No"/>
    <s v="Yes"/>
    <x v="3"/>
    <x v="153"/>
    <x v="153"/>
    <x v="153"/>
    <n v="29602.74"/>
    <n v="107"/>
    <x v="2"/>
    <n v="27.740452088745556"/>
    <s v="Overweight"/>
    <s v="Dr. Vikram Wang"/>
  </r>
  <r>
    <s v="PT-1157"/>
    <x v="152"/>
    <n v="4"/>
    <x v="1"/>
    <x v="10"/>
    <s v="O+"/>
    <x v="4"/>
    <n v="193"/>
    <n v="103"/>
    <s v="Unknown"/>
    <s v="No"/>
    <x v="11"/>
    <x v="154"/>
    <x v="154"/>
    <x v="154"/>
    <n v="2119.35"/>
    <n v="31"/>
    <x v="0"/>
    <n v="27.651749040242692"/>
    <s v="Overweight"/>
    <s v="Dr. Suresh Johnson"/>
  </r>
  <r>
    <s v="PT-1157"/>
    <x v="153"/>
    <n v="45"/>
    <x v="0"/>
    <x v="5"/>
    <s v="Ab+"/>
    <x v="13"/>
    <n v="183.7"/>
    <n v="76.3"/>
    <s v="Yes"/>
    <s v="Yes"/>
    <x v="7"/>
    <x v="155"/>
    <x v="155"/>
    <x v="155"/>
    <n v="12260.18"/>
    <n v="35"/>
    <x v="1"/>
    <n v="22.610294825798494"/>
    <s v="Normal"/>
    <s v="Dr. Meera Torres"/>
  </r>
  <r>
    <s v="PT-1158"/>
    <x v="154"/>
    <n v="36"/>
    <x v="1"/>
    <x v="13"/>
    <s v="B-"/>
    <x v="4"/>
    <n v="180"/>
    <n v="68.900000000000006"/>
    <s v="Unknown"/>
    <s v="Unknown"/>
    <x v="3"/>
    <x v="156"/>
    <x v="156"/>
    <x v="156"/>
    <n v="10963.83"/>
    <n v="107"/>
    <x v="1"/>
    <n v="21.265432098765434"/>
    <s v="Normal"/>
    <s v="Dr. Vikram Wang"/>
  </r>
  <r>
    <s v="PT-1159"/>
    <x v="155"/>
    <n v="40"/>
    <x v="1"/>
    <x v="12"/>
    <s v="Ab+"/>
    <x v="18"/>
    <n v="183"/>
    <n v="119"/>
    <s v="Yes"/>
    <s v="No"/>
    <x v="3"/>
    <x v="157"/>
    <x v="157"/>
    <x v="157"/>
    <n v="45942.54"/>
    <n v="1"/>
    <x v="1"/>
    <n v="35.534055958672994"/>
    <s v="Obese"/>
    <s v="Dr. Vikram Wang"/>
  </r>
  <r>
    <s v="PT-1160"/>
    <x v="156"/>
    <n v="4"/>
    <x v="1"/>
    <x v="2"/>
    <s v="Unknown"/>
    <x v="11"/>
    <n v="167.5"/>
    <n v="71"/>
    <s v="Yes"/>
    <s v="Unknown"/>
    <x v="8"/>
    <x v="158"/>
    <x v="158"/>
    <x v="158"/>
    <n v="0"/>
    <n v="34"/>
    <x v="0"/>
    <n v="25.30630429939853"/>
    <s v="Overweight"/>
    <s v="Dr. Vikram Torres"/>
  </r>
  <r>
    <s v="PT-1161"/>
    <x v="157"/>
    <n v="35"/>
    <x v="0"/>
    <x v="14"/>
    <s v="A+"/>
    <x v="4"/>
    <n v="166.8"/>
    <n v="52"/>
    <s v="Unknown"/>
    <s v="Yes"/>
    <x v="9"/>
    <x v="159"/>
    <x v="159"/>
    <x v="159"/>
    <n v="40351.74"/>
    <n v="35"/>
    <x v="1"/>
    <n v="18.690083904099737"/>
    <s v="Normal"/>
    <s v="Dr. Vikram Khan"/>
  </r>
  <r>
    <s v="PT-1162"/>
    <x v="158"/>
    <n v="28"/>
    <x v="1"/>
    <x v="8"/>
    <s v="Ab+"/>
    <x v="0"/>
    <n v="170"/>
    <n v="93.4"/>
    <s v="Yes"/>
    <s v="Unknown"/>
    <x v="3"/>
    <x v="160"/>
    <x v="160"/>
    <x v="160"/>
    <n v="17146.04"/>
    <n v="107"/>
    <x v="1"/>
    <n v="32.318339100346023"/>
    <s v="Obese"/>
    <s v="Dr. Vikram Wang"/>
  </r>
  <r>
    <s v="PT-1163"/>
    <x v="159"/>
    <n v="31"/>
    <x v="0"/>
    <x v="6"/>
    <s v="Ab+"/>
    <x v="9"/>
    <n v="191.1"/>
    <n v="129.80000000000001"/>
    <s v="No"/>
    <s v="Yes"/>
    <x v="11"/>
    <x v="161"/>
    <x v="161"/>
    <x v="161"/>
    <n v="35549.410000000003"/>
    <n v="31"/>
    <x v="1"/>
    <n v="35.542937538900759"/>
    <s v="Obese"/>
    <s v="Dr. Suresh Johnson"/>
  </r>
  <r>
    <s v="PT-1164"/>
    <x v="160"/>
    <n v="86"/>
    <x v="1"/>
    <x v="12"/>
    <s v="B+"/>
    <x v="4"/>
    <n v="154.80000000000001"/>
    <n v="82.4"/>
    <s v="Unknown"/>
    <s v="Yes"/>
    <x v="4"/>
    <x v="26"/>
    <x v="26"/>
    <x v="26"/>
    <n v="45029.760000000002"/>
    <n v="11"/>
    <x v="2"/>
    <n v="34.386288217187804"/>
    <s v="Obese"/>
    <s v="Dr. Rahul Nair"/>
  </r>
  <r>
    <s v="PT-1165"/>
    <x v="161"/>
    <n v="34"/>
    <x v="2"/>
    <x v="8"/>
    <s v="Ab-"/>
    <x v="4"/>
    <n v="165"/>
    <n v="58"/>
    <s v="Unknown"/>
    <s v="Yes"/>
    <x v="1"/>
    <x v="40"/>
    <x v="40"/>
    <x v="40"/>
    <n v="3176.07"/>
    <n v="38"/>
    <x v="1"/>
    <n v="21.30394857667585"/>
    <s v="Normal"/>
    <s v="Dr. Arvind Wilson"/>
  </r>
  <r>
    <s v="PT-1166"/>
    <x v="162"/>
    <n v="19"/>
    <x v="1"/>
    <x v="3"/>
    <s v="O-"/>
    <x v="15"/>
    <n v="173"/>
    <n v="56"/>
    <s v="Yes"/>
    <s v="No"/>
    <x v="10"/>
    <x v="162"/>
    <x v="162"/>
    <x v="162"/>
    <n v="29025.81"/>
    <n v="83"/>
    <x v="3"/>
    <n v="18.710949246550168"/>
    <s v="Normal"/>
    <s v="Dr. Anita Sanchez"/>
  </r>
  <r>
    <s v="PT-1167"/>
    <x v="163"/>
    <n v="55"/>
    <x v="1"/>
    <x v="1"/>
    <s v="A+"/>
    <x v="18"/>
    <n v="175.8"/>
    <n v="108"/>
    <s v="Yes"/>
    <s v="Unknown"/>
    <x v="3"/>
    <x v="163"/>
    <x v="163"/>
    <x v="163"/>
    <n v="34829.47"/>
    <n v="107"/>
    <x v="1"/>
    <n v="34.945077985765707"/>
    <s v="Obese"/>
    <s v="Dr. Vikram Wang"/>
  </r>
  <r>
    <s v="PT-1168"/>
    <x v="164"/>
    <n v="39"/>
    <x v="0"/>
    <x v="10"/>
    <s v="O+"/>
    <x v="7"/>
    <n v="191"/>
    <n v="84"/>
    <s v="Yes"/>
    <s v="Yes"/>
    <x v="3"/>
    <x v="56"/>
    <x v="56"/>
    <x v="56"/>
    <n v="36494.86"/>
    <n v="107"/>
    <x v="1"/>
    <n v="23.025684602944001"/>
    <s v="Normal"/>
    <s v="Dr. Vikram Wang"/>
  </r>
  <r>
    <s v="PT-1169"/>
    <x v="165"/>
    <n v="5"/>
    <x v="0"/>
    <x v="9"/>
    <s v="A+"/>
    <x v="15"/>
    <n v="191.4"/>
    <n v="99"/>
    <s v="Yes"/>
    <s v="Unknown"/>
    <x v="3"/>
    <x v="164"/>
    <x v="164"/>
    <x v="164"/>
    <n v="19322.560000000001"/>
    <n v="107"/>
    <x v="0"/>
    <n v="27.024105502107876"/>
    <s v="Overweight"/>
    <s v="Dr. Vikram Wang"/>
  </r>
  <r>
    <s v="PT-1170"/>
    <x v="166"/>
    <n v="85"/>
    <x v="2"/>
    <x v="5"/>
    <s v="O+"/>
    <x v="7"/>
    <n v="192"/>
    <n v="110.6"/>
    <s v="No"/>
    <s v="No"/>
    <x v="9"/>
    <x v="165"/>
    <x v="165"/>
    <x v="165"/>
    <n v="48669.43"/>
    <n v="1"/>
    <x v="2"/>
    <n v="30.002170138888889"/>
    <s v="Obese"/>
    <s v="Dr. Vikram Khan"/>
  </r>
  <r>
    <s v="PT-1171"/>
    <x v="167"/>
    <n v="62"/>
    <x v="1"/>
    <x v="7"/>
    <s v="A+"/>
    <x v="4"/>
    <n v="173.7"/>
    <n v="48"/>
    <s v="Unknown"/>
    <s v="Unknown"/>
    <x v="3"/>
    <x v="109"/>
    <x v="109"/>
    <x v="109"/>
    <n v="11942.43"/>
    <n v="107"/>
    <x v="2"/>
    <n v="15.908953061628303"/>
    <s v="Underweight"/>
    <s v="Dr. Vikram Wang"/>
  </r>
  <r>
    <s v="PT-1172"/>
    <x v="168"/>
    <n v="47"/>
    <x v="0"/>
    <x v="2"/>
    <s v="O+"/>
    <x v="7"/>
    <n v="185"/>
    <s v="Invalid"/>
    <s v="Yes"/>
    <s v="Unknown"/>
    <x v="2"/>
    <x v="166"/>
    <x v="166"/>
    <x v="166"/>
    <n v="18197.61"/>
    <n v="35"/>
    <x v="1"/>
    <s v="Unknown"/>
    <s v="Unknown"/>
    <s v="Dr. Neha Liu"/>
  </r>
  <r>
    <s v="PT-1173"/>
    <x v="169"/>
    <n v="52"/>
    <x v="0"/>
    <x v="10"/>
    <s v="A+"/>
    <x v="15"/>
    <n v="150.5"/>
    <n v="112"/>
    <s v="Yes"/>
    <s v="Unknown"/>
    <x v="0"/>
    <x v="167"/>
    <x v="167"/>
    <x v="167"/>
    <n v="5633.8"/>
    <n v="42"/>
    <x v="1"/>
    <n v="49.447577841304188"/>
    <s v="Obese"/>
    <s v="Dr. Sunita Sanchez"/>
  </r>
  <r>
    <s v="PT-1174"/>
    <x v="170"/>
    <n v="79"/>
    <x v="0"/>
    <x v="2"/>
    <s v="O+"/>
    <x v="5"/>
    <n v="150.6"/>
    <n v="45.7"/>
    <s v="Yes"/>
    <s v="Unknown"/>
    <x v="8"/>
    <x v="168"/>
    <x v="168"/>
    <x v="168"/>
    <n v="29044.13"/>
    <n v="34"/>
    <x v="2"/>
    <n v="20.149591981785122"/>
    <s v="Normal"/>
    <s v="Dr. Vikram Torres"/>
  </r>
  <r>
    <s v="PT-1175"/>
    <x v="171"/>
    <n v="13"/>
    <x v="0"/>
    <x v="2"/>
    <s v="Ab-"/>
    <x v="5"/>
    <n v="155.9"/>
    <n v="114"/>
    <s v="Yes"/>
    <s v="Unknown"/>
    <x v="7"/>
    <x v="34"/>
    <x v="34"/>
    <x v="34"/>
    <n v="42517.86"/>
    <n v="35"/>
    <x v="0"/>
    <n v="46.904295898630757"/>
    <s v="Obese"/>
    <s v="Dr. Meera Torres"/>
  </r>
  <r>
    <s v="PT-1176"/>
    <x v="172"/>
    <n v="7"/>
    <x v="2"/>
    <x v="7"/>
    <s v="Ab+"/>
    <x v="3"/>
    <n v="179"/>
    <n v="80.3"/>
    <s v="No"/>
    <s v="No"/>
    <x v="3"/>
    <x v="169"/>
    <x v="169"/>
    <x v="169"/>
    <n v="32841.96"/>
    <n v="107"/>
    <x v="0"/>
    <n v="25.061639774039513"/>
    <s v="Overweight"/>
    <s v="Dr. Vikram Wang"/>
  </r>
  <r>
    <s v="PT-1177"/>
    <x v="173"/>
    <n v="82"/>
    <x v="0"/>
    <x v="12"/>
    <s v="Ab+"/>
    <x v="13"/>
    <n v="192.5"/>
    <n v="113.5"/>
    <s v="No"/>
    <s v="Yes"/>
    <x v="4"/>
    <x v="170"/>
    <x v="170"/>
    <x v="170"/>
    <n v="33029.78"/>
    <n v="45"/>
    <x v="2"/>
    <n v="30.629111148591665"/>
    <s v="Obese"/>
    <s v="Dr. Rahul Nair"/>
  </r>
  <r>
    <s v="PT-1178"/>
    <x v="174"/>
    <n v="38"/>
    <x v="2"/>
    <x v="12"/>
    <s v="O+"/>
    <x v="17"/>
    <n v="189.8"/>
    <n v="104.5"/>
    <s v="No"/>
    <s v="Yes"/>
    <x v="6"/>
    <x v="171"/>
    <x v="171"/>
    <x v="171"/>
    <n v="6476.92"/>
    <n v="30"/>
    <x v="1"/>
    <n v="29.008406608475891"/>
    <s v="Overweight"/>
    <s v="Dr. Sunita Zhang"/>
  </r>
  <r>
    <s v="PT-1179"/>
    <x v="175"/>
    <n v="82"/>
    <x v="1"/>
    <x v="2"/>
    <s v="B-"/>
    <x v="15"/>
    <n v="157"/>
    <n v="40"/>
    <s v="Yes"/>
    <s v="Yes"/>
    <x v="8"/>
    <x v="172"/>
    <x v="172"/>
    <x v="172"/>
    <n v="39163.53"/>
    <n v="34"/>
    <x v="2"/>
    <n v="16.227838857560144"/>
    <s v="Underweight"/>
    <s v="Dr. Vikram Torres"/>
  </r>
  <r>
    <s v="PT-1180"/>
    <x v="176"/>
    <n v="42"/>
    <x v="2"/>
    <x v="1"/>
    <s v="Unknown"/>
    <x v="11"/>
    <n v="153"/>
    <n v="70.900000000000006"/>
    <s v="No"/>
    <s v="Yes"/>
    <x v="3"/>
    <x v="173"/>
    <x v="173"/>
    <x v="173"/>
    <n v="35150.71"/>
    <n v="107"/>
    <x v="1"/>
    <n v="30.287496262121408"/>
    <s v="Obese"/>
    <s v="Dr. Vikram Wang"/>
  </r>
  <r>
    <s v="PT-1181"/>
    <x v="177"/>
    <n v="80"/>
    <x v="1"/>
    <x v="8"/>
    <s v="O+"/>
    <x v="9"/>
    <n v="195"/>
    <n v="102.5"/>
    <s v="Unknown"/>
    <s v="No"/>
    <x v="4"/>
    <x v="174"/>
    <x v="174"/>
    <x v="174"/>
    <n v="24278.31"/>
    <n v="45"/>
    <x v="2"/>
    <n v="26.955950032873112"/>
    <s v="Overweight"/>
    <s v="Dr. Rahul Nair"/>
  </r>
  <r>
    <s v="PT-1182"/>
    <x v="178"/>
    <n v="2"/>
    <x v="2"/>
    <x v="1"/>
    <s v="A+"/>
    <x v="3"/>
    <n v="157"/>
    <n v="110.7"/>
    <s v="Unknown"/>
    <s v="Yes"/>
    <x v="3"/>
    <x v="55"/>
    <x v="55"/>
    <x v="55"/>
    <n v="39325.69"/>
    <n v="107"/>
    <x v="0"/>
    <n v="44.910544038297701"/>
    <s v="Obese"/>
    <s v="Dr. Vikram Wang"/>
  </r>
  <r>
    <s v="PT-1183"/>
    <x v="179"/>
    <n v="72"/>
    <x v="1"/>
    <x v="7"/>
    <s v="Ab+"/>
    <x v="6"/>
    <n v="166.6"/>
    <n v="44.2"/>
    <s v="No"/>
    <s v="Yes"/>
    <x v="4"/>
    <x v="175"/>
    <x v="175"/>
    <x v="175"/>
    <n v="3163.21"/>
    <n v="45"/>
    <x v="2"/>
    <n v="15.924737241835512"/>
    <s v="Underweight"/>
    <s v="Dr. Rahul Nair"/>
  </r>
  <r>
    <s v="PT-1184"/>
    <x v="180"/>
    <n v="83"/>
    <x v="1"/>
    <x v="7"/>
    <s v="Ab+"/>
    <x v="15"/>
    <n v="182"/>
    <n v="101"/>
    <s v="Yes"/>
    <s v="Unknown"/>
    <x v="1"/>
    <x v="176"/>
    <x v="176"/>
    <x v="176"/>
    <n v="2511.39"/>
    <n v="38"/>
    <x v="2"/>
    <n v="30.491486535442576"/>
    <s v="Obese"/>
    <s v="Dr. Arvind Wilson"/>
  </r>
  <r>
    <s v="PT-1185"/>
    <x v="181"/>
    <n v="20"/>
    <x v="0"/>
    <x v="3"/>
    <s v="O+"/>
    <x v="11"/>
    <n v="171.7"/>
    <n v="91.5"/>
    <s v="No"/>
    <s v="Unknown"/>
    <x v="10"/>
    <x v="177"/>
    <x v="177"/>
    <x v="177"/>
    <n v="47870.89"/>
    <n v="1"/>
    <x v="3"/>
    <n v="31.037054851464802"/>
    <s v="Obese"/>
    <s v="Dr. Anita Sanchez"/>
  </r>
  <r>
    <s v="PT-1186"/>
    <x v="182"/>
    <n v="28"/>
    <x v="0"/>
    <x v="9"/>
    <s v="O+"/>
    <x v="3"/>
    <n v="175"/>
    <n v="114"/>
    <s v="No"/>
    <s v="Unknown"/>
    <x v="10"/>
    <x v="178"/>
    <x v="178"/>
    <x v="178"/>
    <n v="45272.57"/>
    <n v="2"/>
    <x v="1"/>
    <n v="37.224489795918366"/>
    <s v="Obese"/>
    <s v="Dr. Anita Sanchez"/>
  </r>
  <r>
    <s v="PT-1187"/>
    <x v="183"/>
    <n v="15"/>
    <x v="0"/>
    <x v="5"/>
    <s v="B+"/>
    <x v="4"/>
    <n v="190.9"/>
    <n v="85.8"/>
    <s v="Yes"/>
    <s v="Yes"/>
    <x v="7"/>
    <x v="30"/>
    <x v="30"/>
    <x v="30"/>
    <n v="25937.79"/>
    <n v="35"/>
    <x v="0"/>
    <n v="23.543738806090964"/>
    <s v="Normal"/>
    <s v="Dr. Meera Torres"/>
  </r>
  <r>
    <s v="PT-1188"/>
    <x v="182"/>
    <n v="86"/>
    <x v="0"/>
    <x v="7"/>
    <s v="Ab+"/>
    <x v="4"/>
    <n v="184"/>
    <n v="103.2"/>
    <s v="Unknown"/>
    <s v="No"/>
    <x v="0"/>
    <x v="179"/>
    <x v="179"/>
    <x v="179"/>
    <n v="23231.65"/>
    <n v="42"/>
    <x v="2"/>
    <n v="30.482041587901701"/>
    <s v="Obese"/>
    <s v="Dr. Sunita Sanchez"/>
  </r>
  <r>
    <s v="PT-1189"/>
    <x v="184"/>
    <n v="34"/>
    <x v="0"/>
    <x v="1"/>
    <s v="Ab-"/>
    <x v="13"/>
    <n v="182"/>
    <n v="88"/>
    <s v="Unknown"/>
    <s v="No"/>
    <x v="3"/>
    <x v="180"/>
    <x v="180"/>
    <x v="180"/>
    <n v="46438.36"/>
    <n v="1"/>
    <x v="1"/>
    <n v="26.566839753652939"/>
    <s v="Overweight"/>
    <s v="Dr. Vikram Wang"/>
  </r>
  <r>
    <s v="PT-1190"/>
    <x v="185"/>
    <n v="51"/>
    <x v="1"/>
    <x v="2"/>
    <s v="A+"/>
    <x v="5"/>
    <n v="175.3"/>
    <n v="116.5"/>
    <s v="Unknown"/>
    <s v="Yes"/>
    <x v="10"/>
    <x v="181"/>
    <x v="181"/>
    <x v="181"/>
    <n v="27899.45"/>
    <n v="83"/>
    <x v="1"/>
    <n v="37.910725285868018"/>
    <s v="Obese"/>
    <s v="Dr. Anita Sanchez"/>
  </r>
  <r>
    <s v="PT-1192"/>
    <x v="186"/>
    <n v="43"/>
    <x v="1"/>
    <x v="3"/>
    <s v="Ab-"/>
    <x v="1"/>
    <n v="188.8"/>
    <n v="80.599999999999994"/>
    <s v="Unknown"/>
    <s v="No"/>
    <x v="3"/>
    <x v="182"/>
    <x v="182"/>
    <x v="182"/>
    <n v="47953.62"/>
    <n v="1"/>
    <x v="1"/>
    <n v="22.611587905774197"/>
    <s v="Normal"/>
    <s v="Dr. Vikram Wang"/>
  </r>
  <r>
    <s v="PT-1193"/>
    <x v="187"/>
    <n v="87"/>
    <x v="1"/>
    <x v="9"/>
    <s v="Unknown"/>
    <x v="7"/>
    <n v="179"/>
    <n v="56"/>
    <s v="Yes"/>
    <s v="Yes"/>
    <x v="7"/>
    <x v="183"/>
    <x v="183"/>
    <x v="183"/>
    <n v="36810.46"/>
    <n v="35"/>
    <x v="2"/>
    <n v="17.477606816266658"/>
    <s v="Underweight"/>
    <s v="Dr. Meera Torres"/>
  </r>
  <r>
    <s v="PT-1194"/>
    <x v="188"/>
    <n v="76"/>
    <x v="1"/>
    <x v="2"/>
    <s v="A+"/>
    <x v="12"/>
    <n v="169.4"/>
    <n v="60.1"/>
    <s v="Yes"/>
    <s v="No"/>
    <x v="1"/>
    <x v="168"/>
    <x v="168"/>
    <x v="168"/>
    <n v="20140.87"/>
    <n v="38"/>
    <x v="2"/>
    <n v="20.943422789510588"/>
    <s v="Normal"/>
    <s v="Dr. Arvind Wilson"/>
  </r>
  <r>
    <s v="PT-1195"/>
    <x v="189"/>
    <n v="21"/>
    <x v="0"/>
    <x v="11"/>
    <s v="O+"/>
    <x v="10"/>
    <n v="149"/>
    <n v="84"/>
    <s v="Yes"/>
    <s v="No"/>
    <x v="9"/>
    <x v="184"/>
    <x v="184"/>
    <x v="184"/>
    <n v="10735.32"/>
    <n v="35"/>
    <x v="3"/>
    <n v="37.83613350749966"/>
    <s v="Obese"/>
    <s v="Dr. Vikram Khan"/>
  </r>
  <r>
    <s v="PT-1196"/>
    <x v="190"/>
    <n v="14"/>
    <x v="1"/>
    <x v="12"/>
    <s v="A+"/>
    <x v="15"/>
    <n v="168"/>
    <n v="74"/>
    <s v="Yes"/>
    <s v="Yes"/>
    <x v="11"/>
    <x v="185"/>
    <x v="185"/>
    <x v="185"/>
    <n v="20589.189999999999"/>
    <n v="31"/>
    <x v="0"/>
    <n v="26.218820861678008"/>
    <s v="Overweight"/>
    <s v="Dr. Suresh Johnson"/>
  </r>
  <r>
    <s v="PT-1197"/>
    <x v="191"/>
    <n v="22"/>
    <x v="1"/>
    <x v="1"/>
    <s v="A+"/>
    <x v="19"/>
    <n v="192.1"/>
    <n v="77.3"/>
    <s v="Unknown"/>
    <s v="No"/>
    <x v="5"/>
    <x v="186"/>
    <x v="186"/>
    <x v="186"/>
    <n v="10929.85"/>
    <n v="37"/>
    <x v="3"/>
    <n v="20.947141392662427"/>
    <s v="Normal"/>
    <s v="Dr. Arvind Chen"/>
  </r>
  <r>
    <s v="PT-1198"/>
    <x v="42"/>
    <n v="81"/>
    <x v="2"/>
    <x v="2"/>
    <s v="O+"/>
    <x v="18"/>
    <n v="191.1"/>
    <n v="91"/>
    <s v="Unknown"/>
    <s v="Unknown"/>
    <x v="2"/>
    <x v="187"/>
    <x v="187"/>
    <x v="187"/>
    <n v="11221.37"/>
    <n v="35"/>
    <x v="2"/>
    <n v="24.91839226533104"/>
    <s v="Normal"/>
    <s v="Dr. Neha Liu"/>
  </r>
  <r>
    <s v="PT-1199"/>
    <x v="192"/>
    <n v="24"/>
    <x v="2"/>
    <x v="2"/>
    <s v="A+"/>
    <x v="14"/>
    <n v="162.1"/>
    <n v="46.2"/>
    <s v="No"/>
    <s v="Yes"/>
    <x v="3"/>
    <x v="73"/>
    <x v="73"/>
    <x v="73"/>
    <n v="26374.21"/>
    <n v="107"/>
    <x v="3"/>
    <n v="17.582310521109999"/>
    <s v="Underweight"/>
    <s v="Dr. Vikram Wang"/>
  </r>
  <r>
    <s v="PT-1200"/>
    <x v="193"/>
    <n v="77"/>
    <x v="0"/>
    <x v="15"/>
    <s v="B-"/>
    <x v="16"/>
    <n v="154"/>
    <n v="109.7"/>
    <s v="Yes"/>
    <s v="Yes"/>
    <x v="10"/>
    <x v="188"/>
    <x v="188"/>
    <x v="188"/>
    <n v="26725.919999999998"/>
    <n v="83"/>
    <x v="2"/>
    <n v="46.255692359588465"/>
    <s v="Obese"/>
    <s v="Dr. Anita Sanchez"/>
  </r>
  <r>
    <s v="PT-1201"/>
    <x v="126"/>
    <n v="90"/>
    <x v="2"/>
    <x v="1"/>
    <s v="Unknown"/>
    <x v="18"/>
    <n v="175"/>
    <n v="118.9"/>
    <s v="Yes"/>
    <s v="No"/>
    <x v="3"/>
    <x v="189"/>
    <x v="189"/>
    <x v="189"/>
    <n v="26365.759999999998"/>
    <n v="107"/>
    <x v="2"/>
    <n v="38.824489795918367"/>
    <s v="Obese"/>
    <s v="Dr. Vikram Wang"/>
  </r>
  <r>
    <s v="PT-1202"/>
    <x v="100"/>
    <n v="84"/>
    <x v="2"/>
    <x v="5"/>
    <s v="A+"/>
    <x v="4"/>
    <n v="168"/>
    <n v="76"/>
    <s v="No"/>
    <s v="Yes"/>
    <x v="4"/>
    <x v="147"/>
    <x v="147"/>
    <x v="147"/>
    <n v="18825.54"/>
    <n v="45"/>
    <x v="2"/>
    <n v="26.927437641723358"/>
    <s v="Overweight"/>
    <s v="Dr. Rahul Nair"/>
  </r>
  <r>
    <s v="PT-1203"/>
    <x v="194"/>
    <n v="85"/>
    <x v="1"/>
    <x v="0"/>
    <s v="Ab-"/>
    <x v="7"/>
    <n v="190.5"/>
    <n v="76.099999999999994"/>
    <s v="Yes"/>
    <s v="No"/>
    <x v="0"/>
    <x v="125"/>
    <x v="125"/>
    <x v="125"/>
    <n v="19760.63"/>
    <n v="42"/>
    <x v="2"/>
    <n v="20.969819717417213"/>
    <s v="Normal"/>
    <s v="Dr. Sunita Sanchez"/>
  </r>
  <r>
    <s v="PT-1204"/>
    <x v="195"/>
    <n v="29"/>
    <x v="1"/>
    <x v="1"/>
    <s v="A-"/>
    <x v="10"/>
    <n v="194.2"/>
    <n v="94"/>
    <s v="Unknown"/>
    <s v="No"/>
    <x v="5"/>
    <x v="190"/>
    <x v="190"/>
    <x v="190"/>
    <n v="42603.1"/>
    <n v="37"/>
    <x v="1"/>
    <n v="24.924669164790249"/>
    <s v="Normal"/>
    <s v="Dr. Arvind Chen"/>
  </r>
  <r>
    <s v="PT-1205"/>
    <x v="196"/>
    <n v="22"/>
    <x v="0"/>
    <x v="2"/>
    <s v="O+"/>
    <x v="6"/>
    <n v="150"/>
    <n v="110.2"/>
    <s v="Unknown"/>
    <s v="Yes"/>
    <x v="11"/>
    <x v="191"/>
    <x v="191"/>
    <x v="191"/>
    <n v="1260.6400000000001"/>
    <n v="31"/>
    <x v="3"/>
    <n v="48.977777777777781"/>
    <s v="Obese"/>
    <s v="Dr. Suresh Johnson"/>
  </r>
  <r>
    <s v="PT-1206"/>
    <x v="197"/>
    <n v="36"/>
    <x v="1"/>
    <x v="6"/>
    <s v="Ab+"/>
    <x v="7"/>
    <s v="Invalid"/>
    <n v="86"/>
    <s v="Yes"/>
    <s v="Yes"/>
    <x v="10"/>
    <x v="192"/>
    <x v="192"/>
    <x v="192"/>
    <n v="47857.11"/>
    <n v="1"/>
    <x v="1"/>
    <s v="Unknown"/>
    <s v="Unknown"/>
    <s v="Dr. Anita Sanchez"/>
  </r>
  <r>
    <s v="PT-1207"/>
    <x v="198"/>
    <n v="32"/>
    <x v="0"/>
    <x v="9"/>
    <s v="Ab-"/>
    <x v="9"/>
    <n v="183"/>
    <n v="63.2"/>
    <s v="Unknown"/>
    <s v="No"/>
    <x v="2"/>
    <x v="193"/>
    <x v="193"/>
    <x v="193"/>
    <n v="20915.09"/>
    <n v="35"/>
    <x v="1"/>
    <n v="18.871868374690195"/>
    <s v="Normal"/>
    <s v="Dr. Neha Liu"/>
  </r>
  <r>
    <s v="PT-1208"/>
    <x v="199"/>
    <n v="44"/>
    <x v="1"/>
    <x v="15"/>
    <s v="O-"/>
    <x v="5"/>
    <n v="150"/>
    <n v="107"/>
    <s v="No"/>
    <s v="Unknown"/>
    <x v="9"/>
    <x v="194"/>
    <x v="194"/>
    <x v="194"/>
    <n v="12481.8"/>
    <n v="35"/>
    <x v="1"/>
    <n v="47.555555555555557"/>
    <s v="Obese"/>
    <s v="Dr. Vikram Khan"/>
  </r>
  <r>
    <s v="PT-1209"/>
    <x v="200"/>
    <n v="11"/>
    <x v="0"/>
    <x v="2"/>
    <s v="Unknown"/>
    <x v="11"/>
    <n v="184"/>
    <n v="126.2"/>
    <s v="No"/>
    <s v="No"/>
    <x v="10"/>
    <x v="195"/>
    <x v="195"/>
    <x v="195"/>
    <n v="43504.06"/>
    <n v="83"/>
    <x v="0"/>
    <n v="37.275519848771268"/>
    <s v="Obese"/>
    <s v="Dr. Anita Sanchez"/>
  </r>
  <r>
    <s v="PT-1210"/>
    <x v="201"/>
    <n v="7"/>
    <x v="2"/>
    <x v="14"/>
    <s v="Unknown"/>
    <x v="12"/>
    <n v="162"/>
    <n v="117"/>
    <s v="No"/>
    <s v="No"/>
    <x v="0"/>
    <x v="196"/>
    <x v="196"/>
    <x v="196"/>
    <n v="0"/>
    <n v="42"/>
    <x v="0"/>
    <n v="44.581618655692722"/>
    <s v="Obese"/>
    <s v="Dr. Sunita Sanchez"/>
  </r>
  <r>
    <s v="PT-1211"/>
    <x v="202"/>
    <n v="24"/>
    <x v="2"/>
    <x v="5"/>
    <s v="Ab-"/>
    <x v="2"/>
    <n v="149"/>
    <n v="78.2"/>
    <s v="Unknown"/>
    <s v="No"/>
    <x v="10"/>
    <x v="59"/>
    <x v="59"/>
    <x v="59"/>
    <n v="22811.09"/>
    <n v="83"/>
    <x v="3"/>
    <n v="35.223638574838972"/>
    <s v="Obese"/>
    <s v="Dr. Anita Sanchez"/>
  </r>
  <r>
    <s v="PT-1212"/>
    <x v="203"/>
    <n v="49"/>
    <x v="1"/>
    <x v="3"/>
    <s v="O+"/>
    <x v="5"/>
    <n v="152"/>
    <n v="120.4"/>
    <s v="No"/>
    <s v="Yes"/>
    <x v="10"/>
    <x v="197"/>
    <x v="197"/>
    <x v="197"/>
    <n v="5399.25"/>
    <n v="83"/>
    <x v="1"/>
    <n v="52.112188365650972"/>
    <s v="Obese"/>
    <s v="Dr. Anita Sanchez"/>
  </r>
  <r>
    <s v="PT-1213"/>
    <x v="204"/>
    <n v="47"/>
    <x v="1"/>
    <x v="15"/>
    <s v="A+"/>
    <x v="3"/>
    <n v="191.7"/>
    <n v="118"/>
    <s v="Unknown"/>
    <s v="No"/>
    <x v="2"/>
    <x v="198"/>
    <x v="198"/>
    <x v="198"/>
    <n v="18077.900000000001"/>
    <n v="35"/>
    <x v="1"/>
    <n v="32.109813384839654"/>
    <s v="Obese"/>
    <s v="Dr. Neha Liu"/>
  </r>
  <r>
    <s v="PT-1214"/>
    <x v="205"/>
    <n v="19"/>
    <x v="1"/>
    <x v="4"/>
    <s v="O+"/>
    <x v="7"/>
    <n v="155"/>
    <n v="70.900000000000006"/>
    <s v="No"/>
    <s v="Unknown"/>
    <x v="10"/>
    <x v="199"/>
    <x v="199"/>
    <x v="199"/>
    <n v="32409.89"/>
    <n v="83"/>
    <x v="3"/>
    <n v="29.510926118626429"/>
    <s v="Overweight"/>
    <s v="Dr. Anita Sanchez"/>
  </r>
  <r>
    <s v="PT-1215"/>
    <x v="206"/>
    <n v="22"/>
    <x v="0"/>
    <x v="9"/>
    <s v="O+"/>
    <x v="10"/>
    <n v="174.6"/>
    <n v="76"/>
    <s v="No"/>
    <s v="No"/>
    <x v="1"/>
    <x v="8"/>
    <x v="8"/>
    <x v="8"/>
    <n v="38661.22"/>
    <n v="38"/>
    <x v="3"/>
    <n v="24.930162741478149"/>
    <s v="Normal"/>
    <s v="Dr. Arvind Wilson"/>
  </r>
  <r>
    <s v="PT-1216"/>
    <x v="207"/>
    <n v="50"/>
    <x v="0"/>
    <x v="7"/>
    <s v="Ab-"/>
    <x v="10"/>
    <n v="190.9"/>
    <n v="55"/>
    <s v="Unknown"/>
    <s v="No"/>
    <x v="8"/>
    <x v="200"/>
    <x v="200"/>
    <x v="200"/>
    <n v="23626.080000000002"/>
    <n v="34"/>
    <x v="1"/>
    <n v="15.092140260314721"/>
    <s v="Underweight"/>
    <s v="Dr. Vikram Torres"/>
  </r>
  <r>
    <s v="PT-1217"/>
    <x v="208"/>
    <n v="81"/>
    <x v="1"/>
    <x v="9"/>
    <s v="Unknown"/>
    <x v="5"/>
    <n v="145.30000000000001"/>
    <n v="60"/>
    <s v="No"/>
    <s v="Yes"/>
    <x v="10"/>
    <x v="201"/>
    <x v="201"/>
    <x v="201"/>
    <n v="0"/>
    <n v="83"/>
    <x v="2"/>
    <n v="28.419734853347062"/>
    <s v="Overweight"/>
    <s v="Dr. Anita Sanchez"/>
  </r>
  <r>
    <s v="PT-1218"/>
    <x v="209"/>
    <n v="89"/>
    <x v="1"/>
    <x v="7"/>
    <s v="Unknown"/>
    <x v="8"/>
    <n v="187"/>
    <n v="66"/>
    <s v="Yes"/>
    <s v="Yes"/>
    <x v="10"/>
    <x v="202"/>
    <x v="202"/>
    <x v="202"/>
    <n v="44167.02"/>
    <n v="83"/>
    <x v="2"/>
    <n v="18.873859704309528"/>
    <s v="Normal"/>
    <s v="Dr. Anita Sanchez"/>
  </r>
  <r>
    <s v="PT-1219"/>
    <x v="210"/>
    <n v="11"/>
    <x v="0"/>
    <x v="9"/>
    <s v="Ab-"/>
    <x v="5"/>
    <n v="163.69999999999999"/>
    <n v="106.9"/>
    <s v="No"/>
    <s v="No"/>
    <x v="8"/>
    <x v="12"/>
    <x v="12"/>
    <x v="12"/>
    <n v="7262.89"/>
    <n v="34"/>
    <x v="0"/>
    <n v="39.891498110471474"/>
    <s v="Obese"/>
    <s v="Dr. Vikram Torres"/>
  </r>
  <r>
    <s v="PT-1220"/>
    <x v="211"/>
    <n v="20"/>
    <x v="0"/>
    <x v="15"/>
    <s v="A+"/>
    <x v="14"/>
    <n v="148"/>
    <n v="105"/>
    <s v="No"/>
    <s v="Yes"/>
    <x v="3"/>
    <x v="203"/>
    <x v="203"/>
    <x v="203"/>
    <n v="17424.689999999999"/>
    <n v="107"/>
    <x v="3"/>
    <n v="47.936449963476996"/>
    <s v="Obese"/>
    <s v="Dr. Vikram Wang"/>
  </r>
  <r>
    <s v="PT-1221"/>
    <x v="190"/>
    <n v="19"/>
    <x v="0"/>
    <x v="5"/>
    <s v="Ab+"/>
    <x v="16"/>
    <n v="169.8"/>
    <n v="115"/>
    <s v="Unknown"/>
    <s v="No"/>
    <x v="11"/>
    <x v="60"/>
    <x v="60"/>
    <x v="60"/>
    <n v="0"/>
    <n v="31"/>
    <x v="3"/>
    <n v="39.886182177882652"/>
    <s v="Obese"/>
    <s v="Dr. Suresh Johnson"/>
  </r>
  <r>
    <s v="PT-1222"/>
    <x v="212"/>
    <n v="40"/>
    <x v="1"/>
    <x v="4"/>
    <s v="A-"/>
    <x v="10"/>
    <n v="186.1"/>
    <n v="66.900000000000006"/>
    <s v="Yes"/>
    <s v="Unknown"/>
    <x v="9"/>
    <x v="204"/>
    <x v="204"/>
    <x v="204"/>
    <n v="31828.99"/>
    <n v="35"/>
    <x v="1"/>
    <n v="19.316719414688965"/>
    <s v="Normal"/>
    <s v="Dr. Vikram Khan"/>
  </r>
  <r>
    <s v="PT-1223"/>
    <x v="213"/>
    <s v="Invalid"/>
    <x v="0"/>
    <x v="11"/>
    <s v="Unknown"/>
    <x v="17"/>
    <n v="160"/>
    <n v="85"/>
    <s v="Unknown"/>
    <s v="Yes"/>
    <x v="3"/>
    <x v="205"/>
    <x v="205"/>
    <x v="205"/>
    <n v="8118.96"/>
    <n v="107"/>
    <x v="4"/>
    <n v="33.203124999999993"/>
    <s v="Obese"/>
    <s v="Dr. Vikram Wang"/>
  </r>
  <r>
    <s v="PT-1224"/>
    <x v="177"/>
    <n v="57"/>
    <x v="1"/>
    <x v="0"/>
    <s v="A+"/>
    <x v="17"/>
    <n v="153.1"/>
    <n v="83.7"/>
    <s v="Yes"/>
    <s v="Yes"/>
    <x v="1"/>
    <x v="206"/>
    <x v="206"/>
    <x v="206"/>
    <n v="28551.74"/>
    <n v="38"/>
    <x v="1"/>
    <n v="35.708785257092593"/>
    <s v="Obese"/>
    <s v="Dr. Arvind Wilson"/>
  </r>
  <r>
    <s v="PT-1225"/>
    <x v="214"/>
    <n v="58"/>
    <x v="0"/>
    <x v="5"/>
    <s v="O+"/>
    <x v="7"/>
    <n v="179"/>
    <n v="74"/>
    <s v="Yes"/>
    <s v="No"/>
    <x v="8"/>
    <x v="207"/>
    <x v="207"/>
    <x v="207"/>
    <n v="12319.93"/>
    <n v="34"/>
    <x v="1"/>
    <n v="23.095409007209515"/>
    <s v="Normal"/>
    <s v="Dr. Vikram Torres"/>
  </r>
  <r>
    <s v="PT-1226"/>
    <x v="215"/>
    <n v="71"/>
    <x v="0"/>
    <x v="6"/>
    <s v="B+"/>
    <x v="3"/>
    <n v="182"/>
    <n v="46"/>
    <s v="Yes"/>
    <s v="Yes"/>
    <x v="9"/>
    <x v="208"/>
    <x v="208"/>
    <x v="208"/>
    <n v="0"/>
    <n v="35"/>
    <x v="2"/>
    <n v="13.88721168940949"/>
    <s v="Underweight"/>
    <s v="Dr. Vikram Khan"/>
  </r>
  <r>
    <s v="PT-1227"/>
    <x v="216"/>
    <n v="7"/>
    <x v="1"/>
    <x v="7"/>
    <s v="B+"/>
    <x v="4"/>
    <n v="175"/>
    <n v="114.9"/>
    <s v="Unknown"/>
    <s v="Yes"/>
    <x v="10"/>
    <x v="209"/>
    <x v="209"/>
    <x v="209"/>
    <n v="39815.35"/>
    <n v="83"/>
    <x v="0"/>
    <n v="37.518367346938774"/>
    <s v="Obese"/>
    <s v="Dr. Anita Sanchez"/>
  </r>
  <r>
    <s v="PT-1228"/>
    <x v="151"/>
    <n v="28"/>
    <x v="2"/>
    <x v="1"/>
    <s v="B-"/>
    <x v="10"/>
    <n v="152.19999999999999"/>
    <n v="62"/>
    <s v="Yes"/>
    <s v="Unknown"/>
    <x v="1"/>
    <x v="50"/>
    <x v="50"/>
    <x v="50"/>
    <n v="5722.95"/>
    <n v="38"/>
    <x v="1"/>
    <n v="26.764700295793112"/>
    <s v="Overweight"/>
    <s v="Dr. Arvind Wilson"/>
  </r>
  <r>
    <s v="PT-1229"/>
    <x v="217"/>
    <n v="24"/>
    <x v="2"/>
    <x v="1"/>
    <s v="O+"/>
    <x v="9"/>
    <n v="155"/>
    <n v="121.2"/>
    <s v="No"/>
    <s v="Yes"/>
    <x v="4"/>
    <x v="45"/>
    <x v="45"/>
    <x v="45"/>
    <n v="16510.82"/>
    <n v="45"/>
    <x v="3"/>
    <n v="50.447450572320491"/>
    <s v="Obese"/>
    <s v="Dr. Rahul Nair"/>
  </r>
  <r>
    <s v="PT-1230"/>
    <x v="218"/>
    <n v="51"/>
    <x v="0"/>
    <x v="0"/>
    <s v="A-"/>
    <x v="8"/>
    <n v="186.2"/>
    <s v="Invalid"/>
    <s v="No"/>
    <s v="No"/>
    <x v="8"/>
    <x v="210"/>
    <x v="210"/>
    <x v="210"/>
    <n v="38690.39"/>
    <n v="34"/>
    <x v="1"/>
    <s v="Unknown"/>
    <s v="Unknown"/>
    <s v="Dr. Vikram Torres"/>
  </r>
  <r>
    <s v="PT-1231"/>
    <x v="219"/>
    <n v="13"/>
    <x v="0"/>
    <x v="10"/>
    <s v="O+"/>
    <x v="18"/>
    <n v="192"/>
    <n v="113"/>
    <s v="Unknown"/>
    <s v="Yes"/>
    <x v="6"/>
    <x v="211"/>
    <x v="211"/>
    <x v="211"/>
    <n v="4321.4799999999996"/>
    <n v="30"/>
    <x v="0"/>
    <n v="30.653211805555557"/>
    <s v="Obese"/>
    <s v="Dr. Sunita Zhang"/>
  </r>
  <r>
    <s v="PT-1232"/>
    <x v="144"/>
    <n v="83"/>
    <x v="0"/>
    <x v="2"/>
    <s v="Ab+"/>
    <x v="16"/>
    <n v="189"/>
    <n v="113.5"/>
    <s v="No"/>
    <s v="No"/>
    <x v="0"/>
    <x v="4"/>
    <x v="4"/>
    <x v="4"/>
    <n v="38982.22"/>
    <n v="42"/>
    <x v="2"/>
    <n v="31.774026483021192"/>
    <s v="Obese"/>
    <s v="Dr. Sunita Sanchez"/>
  </r>
  <r>
    <s v="PT-1233"/>
    <x v="220"/>
    <n v="29"/>
    <x v="0"/>
    <x v="2"/>
    <s v="Ab+"/>
    <x v="7"/>
    <n v="170.9"/>
    <n v="66.099999999999994"/>
    <s v="Yes"/>
    <s v="Yes"/>
    <x v="10"/>
    <x v="212"/>
    <x v="212"/>
    <x v="212"/>
    <n v="0"/>
    <n v="83"/>
    <x v="1"/>
    <n v="22.631708152995824"/>
    <s v="Normal"/>
    <s v="Dr. Anita Sanchez"/>
  </r>
  <r>
    <s v="PT-1234"/>
    <x v="221"/>
    <n v="18"/>
    <x v="1"/>
    <x v="15"/>
    <s v="Ab+"/>
    <x v="5"/>
    <n v="149"/>
    <n v="64"/>
    <s v="No"/>
    <s v="Unknown"/>
    <x v="7"/>
    <x v="213"/>
    <x v="213"/>
    <x v="213"/>
    <n v="33751.5"/>
    <n v="35"/>
    <x v="0"/>
    <n v="28.827530291428314"/>
    <s v="Overweight"/>
    <s v="Dr. Meera Torres"/>
  </r>
  <r>
    <s v="PT-1235"/>
    <x v="222"/>
    <n v="45"/>
    <x v="2"/>
    <x v="10"/>
    <s v="O+"/>
    <x v="7"/>
    <n v="163"/>
    <n v="58"/>
    <s v="Yes"/>
    <s v="Unknown"/>
    <x v="8"/>
    <x v="214"/>
    <x v="214"/>
    <x v="214"/>
    <n v="37109.29"/>
    <n v="34"/>
    <x v="1"/>
    <n v="21.829952199932254"/>
    <s v="Normal"/>
    <s v="Dr. Vikram Torres"/>
  </r>
  <r>
    <s v="PT-1236"/>
    <x v="223"/>
    <n v="40"/>
    <x v="1"/>
    <x v="13"/>
    <s v="A+"/>
    <x v="3"/>
    <n v="189.8"/>
    <n v="107.5"/>
    <s v="Unknown"/>
    <s v="Unknown"/>
    <x v="3"/>
    <x v="215"/>
    <x v="215"/>
    <x v="215"/>
    <n v="29358.74"/>
    <n v="107"/>
    <x v="1"/>
    <n v="29.841183831685726"/>
    <s v="Overweight"/>
    <s v="Dr. Vikram Wang"/>
  </r>
  <r>
    <s v="PT-1237"/>
    <x v="224"/>
    <n v="7"/>
    <x v="1"/>
    <x v="9"/>
    <s v="A+"/>
    <x v="16"/>
    <n v="183"/>
    <n v="41.7"/>
    <s v="No"/>
    <s v="Yes"/>
    <x v="1"/>
    <x v="124"/>
    <x v="124"/>
    <x v="124"/>
    <n v="24490.78"/>
    <n v="38"/>
    <x v="0"/>
    <n v="12.451849861148435"/>
    <s v="Underweight"/>
    <s v="Dr. Arvind Wilson"/>
  </r>
  <r>
    <s v="PT-1238"/>
    <x v="225"/>
    <s v="Invalid"/>
    <x v="1"/>
    <x v="12"/>
    <s v="B+"/>
    <x v="3"/>
    <n v="179"/>
    <n v="71.7"/>
    <s v="No"/>
    <s v="Yes"/>
    <x v="10"/>
    <x v="158"/>
    <x v="158"/>
    <x v="158"/>
    <n v="13255.13"/>
    <n v="83"/>
    <x v="4"/>
    <n v="22.377578727255706"/>
    <s v="Normal"/>
    <s v="Dr. Anita Sanchez"/>
  </r>
  <r>
    <s v="PT-1239"/>
    <x v="226"/>
    <n v="51"/>
    <x v="0"/>
    <x v="3"/>
    <s v="B+"/>
    <x v="10"/>
    <n v="185"/>
    <n v="91.6"/>
    <s v="Yes"/>
    <s v="No"/>
    <x v="10"/>
    <x v="216"/>
    <x v="216"/>
    <x v="216"/>
    <n v="7022.72"/>
    <n v="83"/>
    <x v="1"/>
    <n v="26.764061358655947"/>
    <s v="Overweight"/>
    <s v="Dr. Anita Sanchez"/>
  </r>
  <r>
    <s v="PT-1240"/>
    <x v="227"/>
    <n v="68"/>
    <x v="0"/>
    <x v="14"/>
    <s v="O+"/>
    <x v="13"/>
    <n v="181"/>
    <s v="Invalid"/>
    <s v="Unknown"/>
    <s v="No"/>
    <x v="3"/>
    <x v="217"/>
    <x v="217"/>
    <x v="217"/>
    <n v="36490.44"/>
    <n v="107"/>
    <x v="2"/>
    <s v="Unknown"/>
    <s v="Unknown"/>
    <s v="Dr. Vikram Wang"/>
  </r>
  <r>
    <s v="PT-1241"/>
    <x v="228"/>
    <n v="82"/>
    <x v="1"/>
    <x v="5"/>
    <s v="O+"/>
    <x v="15"/>
    <n v="153.6"/>
    <n v="95.1"/>
    <s v="Unknown"/>
    <s v="No"/>
    <x v="6"/>
    <x v="218"/>
    <x v="218"/>
    <x v="218"/>
    <n v="11993.04"/>
    <n v="30"/>
    <x v="2"/>
    <n v="40.308634440104164"/>
    <s v="Obese"/>
    <s v="Dr. Sunita Zhang"/>
  </r>
  <r>
    <s v="PT-1242"/>
    <x v="229"/>
    <n v="92"/>
    <x v="0"/>
    <x v="2"/>
    <s v="O-"/>
    <x v="4"/>
    <n v="146"/>
    <n v="43"/>
    <s v="Yes"/>
    <s v="Yes"/>
    <x v="9"/>
    <x v="219"/>
    <x v="219"/>
    <x v="219"/>
    <n v="3773.75"/>
    <n v="35"/>
    <x v="2"/>
    <n v="20.172640270219556"/>
    <s v="Normal"/>
    <s v="Dr. Vikram Khan"/>
  </r>
  <r>
    <s v="PT-1243"/>
    <x v="230"/>
    <n v="55"/>
    <x v="0"/>
    <x v="7"/>
    <s v="A-"/>
    <x v="11"/>
    <n v="191.3"/>
    <n v="125"/>
    <s v="Yes"/>
    <s v="No"/>
    <x v="5"/>
    <x v="133"/>
    <x v="133"/>
    <x v="133"/>
    <n v="43950.11"/>
    <n v="37"/>
    <x v="1"/>
    <n v="34.157027781140343"/>
    <s v="Obese"/>
    <s v="Dr. Arvind Chen"/>
  </r>
  <r>
    <s v="PT-1244"/>
    <x v="231"/>
    <n v="7"/>
    <x v="1"/>
    <x v="8"/>
    <s v="Ab-"/>
    <x v="3"/>
    <n v="169.5"/>
    <n v="78"/>
    <s v="Unknown"/>
    <s v="Yes"/>
    <x v="7"/>
    <x v="220"/>
    <x v="220"/>
    <x v="220"/>
    <n v="41579.730000000003"/>
    <n v="35"/>
    <x v="0"/>
    <n v="27.149085023624924"/>
    <s v="Overweight"/>
    <s v="Dr. Meera Torres"/>
  </r>
  <r>
    <s v="PT-1245"/>
    <x v="74"/>
    <n v="18"/>
    <x v="0"/>
    <x v="14"/>
    <s v="O+"/>
    <x v="7"/>
    <n v="157"/>
    <n v="121"/>
    <s v="No"/>
    <s v="No"/>
    <x v="10"/>
    <x v="221"/>
    <x v="221"/>
    <x v="221"/>
    <n v="32604.53"/>
    <n v="83"/>
    <x v="0"/>
    <n v="49.089212544119434"/>
    <s v="Obese"/>
    <s v="Dr. Anita Sanchez"/>
  </r>
  <r>
    <s v="PT-1246"/>
    <x v="232"/>
    <n v="11"/>
    <x v="2"/>
    <x v="3"/>
    <s v="Ab+"/>
    <x v="10"/>
    <n v="159"/>
    <n v="74"/>
    <s v="No"/>
    <s v="No"/>
    <x v="8"/>
    <x v="222"/>
    <x v="222"/>
    <x v="222"/>
    <n v="43506.52"/>
    <n v="34"/>
    <x v="0"/>
    <n v="29.270994027135"/>
    <s v="Overweight"/>
    <s v="Dr. Vikram Torres"/>
  </r>
  <r>
    <s v="PT-1247"/>
    <x v="233"/>
    <n v="17"/>
    <x v="1"/>
    <x v="9"/>
    <s v="A+"/>
    <x v="4"/>
    <n v="191"/>
    <n v="84"/>
    <s v="Unknown"/>
    <s v="Unknown"/>
    <x v="5"/>
    <x v="49"/>
    <x v="49"/>
    <x v="49"/>
    <n v="22372.83"/>
    <n v="37"/>
    <x v="0"/>
    <n v="23.025684602944001"/>
    <s v="Normal"/>
    <s v="Dr. Arvind Chen"/>
  </r>
  <r>
    <s v="PT-1248"/>
    <x v="234"/>
    <n v="27"/>
    <x v="0"/>
    <x v="4"/>
    <s v="O+"/>
    <x v="18"/>
    <n v="150"/>
    <n v="115.4"/>
    <s v="No"/>
    <s v="No"/>
    <x v="3"/>
    <x v="223"/>
    <x v="223"/>
    <x v="223"/>
    <n v="49689.89"/>
    <n v="1"/>
    <x v="1"/>
    <n v="51.288888888888891"/>
    <s v="Obese"/>
    <s v="Dr. Vikram Wang"/>
  </r>
  <r>
    <s v="PT-1249"/>
    <x v="235"/>
    <n v="59"/>
    <x v="1"/>
    <x v="11"/>
    <s v="O+"/>
    <x v="18"/>
    <n v="171"/>
    <n v="121"/>
    <s v="No"/>
    <s v="Yes"/>
    <x v="3"/>
    <x v="224"/>
    <x v="224"/>
    <x v="224"/>
    <n v="7160.02"/>
    <n v="107"/>
    <x v="1"/>
    <n v="41.380253753291612"/>
    <s v="Obese"/>
    <s v="Dr. Vikram Wang"/>
  </r>
  <r>
    <s v="PT-1250"/>
    <x v="212"/>
    <n v="14"/>
    <x v="2"/>
    <x v="0"/>
    <s v="B+"/>
    <x v="5"/>
    <n v="165"/>
    <n v="116.3"/>
    <s v="Yes"/>
    <s v="No"/>
    <x v="6"/>
    <x v="108"/>
    <x v="108"/>
    <x v="108"/>
    <n v="30907.35"/>
    <n v="30"/>
    <x v="0"/>
    <n v="42.718089990817269"/>
    <s v="Obese"/>
    <s v="Dr. Sunita Zhang"/>
  </r>
  <r>
    <s v="PT-1251"/>
    <x v="236"/>
    <n v="25"/>
    <x v="0"/>
    <x v="1"/>
    <s v="A+"/>
    <x v="7"/>
    <n v="185"/>
    <n v="129.9"/>
    <s v="Yes"/>
    <s v="No"/>
    <x v="10"/>
    <x v="225"/>
    <x v="225"/>
    <x v="225"/>
    <n v="32210.61"/>
    <n v="83"/>
    <x v="3"/>
    <n v="37.954711468224978"/>
    <s v="Obese"/>
    <s v="Dr. Anita Sanchez"/>
  </r>
  <r>
    <s v="PT-1252"/>
    <x v="75"/>
    <n v="15"/>
    <x v="0"/>
    <x v="9"/>
    <s v="O+"/>
    <x v="3"/>
    <n v="175"/>
    <n v="57.5"/>
    <s v="Unknown"/>
    <s v="No"/>
    <x v="7"/>
    <x v="226"/>
    <x v="226"/>
    <x v="226"/>
    <n v="32459.78"/>
    <n v="35"/>
    <x v="0"/>
    <n v="18.775510204081634"/>
    <s v="Normal"/>
    <s v="Dr. Meera Torres"/>
  </r>
  <r>
    <s v="PT-1253"/>
    <x v="237"/>
    <n v="8"/>
    <x v="1"/>
    <x v="12"/>
    <s v="B+"/>
    <x v="0"/>
    <s v="Invalid"/>
    <n v="101.7"/>
    <s v="No"/>
    <s v="Yes"/>
    <x v="10"/>
    <x v="35"/>
    <x v="35"/>
    <x v="35"/>
    <n v="49189.13"/>
    <n v="1"/>
    <x v="0"/>
    <s v="Unknown"/>
    <s v="Unknown"/>
    <s v="Dr. Anita Sanchez"/>
  </r>
  <r>
    <s v="PT-1254"/>
    <x v="238"/>
    <n v="40"/>
    <x v="1"/>
    <x v="9"/>
    <s v="A-"/>
    <x v="2"/>
    <n v="187.4"/>
    <n v="114.7"/>
    <s v="No"/>
    <s v="Yes"/>
    <x v="10"/>
    <x v="227"/>
    <x v="227"/>
    <x v="227"/>
    <n v="0"/>
    <n v="83"/>
    <x v="1"/>
    <n v="32.660606467882118"/>
    <s v="Obese"/>
    <s v="Dr. Anita Sanchez"/>
  </r>
  <r>
    <s v="PT-1255"/>
    <x v="188"/>
    <n v="20"/>
    <x v="1"/>
    <x v="9"/>
    <s v="Unknown"/>
    <x v="10"/>
    <n v="145"/>
    <n v="118"/>
    <s v="No"/>
    <s v="Unknown"/>
    <x v="3"/>
    <x v="228"/>
    <x v="228"/>
    <x v="228"/>
    <n v="35827.03"/>
    <n v="107"/>
    <x v="3"/>
    <n v="56.123662306777646"/>
    <s v="Obese"/>
    <s v="Dr. Vikram Wang"/>
  </r>
  <r>
    <s v="PT-1255"/>
    <x v="239"/>
    <n v="35"/>
    <x v="0"/>
    <x v="3"/>
    <s v="O+"/>
    <x v="3"/>
    <n v="184.7"/>
    <n v="76"/>
    <s v="Yes"/>
    <s v="No"/>
    <x v="3"/>
    <x v="229"/>
    <x v="229"/>
    <x v="229"/>
    <n v="40989.839999999997"/>
    <n v="107"/>
    <x v="1"/>
    <n v="22.278184761780249"/>
    <s v="Normal"/>
    <s v="Dr. Vikram Wang"/>
  </r>
  <r>
    <s v="PT-1256"/>
    <x v="240"/>
    <n v="6"/>
    <x v="1"/>
    <x v="12"/>
    <s v="B+"/>
    <x v="4"/>
    <n v="168.6"/>
    <n v="57.3"/>
    <s v="Yes"/>
    <s v="No"/>
    <x v="4"/>
    <x v="120"/>
    <x v="120"/>
    <x v="120"/>
    <n v="6323.72"/>
    <n v="45"/>
    <x v="0"/>
    <n v="20.157630560234377"/>
    <s v="Normal"/>
    <s v="Dr. Rahul Nair"/>
  </r>
  <r>
    <s v="PT-1258"/>
    <x v="241"/>
    <n v="26"/>
    <x v="1"/>
    <x v="7"/>
    <s v="B+"/>
    <x v="15"/>
    <n v="186.1"/>
    <n v="122.8"/>
    <s v="No"/>
    <s v="No"/>
    <x v="10"/>
    <x v="230"/>
    <x v="230"/>
    <x v="230"/>
    <n v="11968.86"/>
    <n v="83"/>
    <x v="1"/>
    <n v="35.45729662367421"/>
    <s v="Obese"/>
    <s v="Dr. Anita Sanchez"/>
  </r>
  <r>
    <s v="PT-1259"/>
    <x v="242"/>
    <n v="43"/>
    <x v="0"/>
    <x v="9"/>
    <s v="Ab-"/>
    <x v="5"/>
    <n v="192.5"/>
    <n v="71.599999999999994"/>
    <s v="Yes"/>
    <s v="Yes"/>
    <x v="4"/>
    <x v="231"/>
    <x v="231"/>
    <x v="231"/>
    <n v="28946.57"/>
    <n v="45"/>
    <x v="1"/>
    <n v="19.321976724574125"/>
    <s v="Normal"/>
    <s v="Dr. Rahul Nair"/>
  </r>
  <r>
    <s v="PT-1260"/>
    <x v="202"/>
    <n v="39"/>
    <x v="2"/>
    <x v="10"/>
    <s v="Ab+"/>
    <x v="0"/>
    <n v="175"/>
    <n v="74.5"/>
    <s v="No"/>
    <s v="Unknown"/>
    <x v="6"/>
    <x v="232"/>
    <x v="232"/>
    <x v="232"/>
    <n v="28576.95"/>
    <n v="30"/>
    <x v="1"/>
    <n v="24.326530612244898"/>
    <s v="Normal"/>
    <s v="Dr. Sunita Zhang"/>
  </r>
  <r>
    <s v="PT-1261"/>
    <x v="243"/>
    <n v="63"/>
    <x v="1"/>
    <x v="11"/>
    <s v="Ab-"/>
    <x v="3"/>
    <n v="184.8"/>
    <n v="77"/>
    <s v="Unknown"/>
    <s v="No"/>
    <x v="4"/>
    <x v="233"/>
    <x v="233"/>
    <x v="233"/>
    <n v="24967.61"/>
    <n v="45"/>
    <x v="2"/>
    <n v="22.546897546897544"/>
    <s v="Normal"/>
    <s v="Dr. Rahul Nair"/>
  </r>
  <r>
    <s v="PT-1262"/>
    <x v="244"/>
    <n v="58"/>
    <x v="2"/>
    <x v="8"/>
    <s v="Ab+"/>
    <x v="11"/>
    <n v="182"/>
    <n v="111.5"/>
    <s v="No"/>
    <s v="Unknown"/>
    <x v="7"/>
    <x v="234"/>
    <x v="234"/>
    <x v="234"/>
    <n v="29344.99"/>
    <n v="35"/>
    <x v="1"/>
    <n v="33.661393551503437"/>
    <s v="Obese"/>
    <s v="Dr. Meera Torres"/>
  </r>
  <r>
    <s v="PT-1263"/>
    <x v="245"/>
    <n v="7"/>
    <x v="0"/>
    <x v="3"/>
    <s v="O+"/>
    <x v="1"/>
    <n v="191"/>
    <n v="93.1"/>
    <s v="Unknown"/>
    <s v="Yes"/>
    <x v="11"/>
    <x v="235"/>
    <x v="235"/>
    <x v="235"/>
    <n v="27483.38"/>
    <n v="31"/>
    <x v="0"/>
    <n v="25.52013376826293"/>
    <s v="Overweight"/>
    <s v="Dr. Suresh Johnson"/>
  </r>
  <r>
    <s v="PT-1264"/>
    <x v="246"/>
    <n v="86"/>
    <x v="0"/>
    <x v="3"/>
    <s v="A+"/>
    <x v="16"/>
    <n v="192.6"/>
    <n v="128"/>
    <s v="No"/>
    <s v="Yes"/>
    <x v="2"/>
    <x v="209"/>
    <x v="209"/>
    <x v="209"/>
    <n v="44732.33"/>
    <n v="14"/>
    <x v="2"/>
    <n v="34.506221363879973"/>
    <s v="Obese"/>
    <s v="Dr. Neha Liu"/>
  </r>
  <r>
    <s v="PT-1265"/>
    <x v="247"/>
    <n v="50"/>
    <x v="1"/>
    <x v="7"/>
    <s v="O-"/>
    <x v="7"/>
    <n v="184"/>
    <n v="64.2"/>
    <s v="Yes"/>
    <s v="Yes"/>
    <x v="6"/>
    <x v="172"/>
    <x v="172"/>
    <x v="172"/>
    <n v="18744.64"/>
    <n v="30"/>
    <x v="1"/>
    <n v="18.96266540642722"/>
    <s v="Normal"/>
    <s v="Dr. Sunita Zhang"/>
  </r>
  <r>
    <s v="PT-1266"/>
    <x v="248"/>
    <n v="36"/>
    <x v="1"/>
    <x v="12"/>
    <s v="B+"/>
    <x v="5"/>
    <n v="147.30000000000001"/>
    <n v="100"/>
    <s v="Unknown"/>
    <s v="Unknown"/>
    <x v="1"/>
    <x v="236"/>
    <x v="236"/>
    <x v="236"/>
    <n v="3112.33"/>
    <n v="38"/>
    <x v="1"/>
    <n v="46.088705087132993"/>
    <s v="Obese"/>
    <s v="Dr. Arvind Wilson"/>
  </r>
  <r>
    <s v="PT-1267"/>
    <x v="249"/>
    <n v="46"/>
    <x v="0"/>
    <x v="8"/>
    <s v="B+"/>
    <x v="14"/>
    <n v="183"/>
    <n v="107.4"/>
    <s v="Yes"/>
    <s v="Unknown"/>
    <x v="5"/>
    <x v="237"/>
    <x v="237"/>
    <x v="237"/>
    <n v="3055.18"/>
    <n v="37"/>
    <x v="1"/>
    <n v="32.070232016483018"/>
    <s v="Obese"/>
    <s v="Dr. Arvind Chen"/>
  </r>
  <r>
    <s v="PT-1268"/>
    <x v="250"/>
    <n v="36"/>
    <x v="0"/>
    <x v="3"/>
    <s v="A+"/>
    <x v="2"/>
    <n v="185"/>
    <n v="122"/>
    <s v="Unknown"/>
    <s v="No"/>
    <x v="10"/>
    <x v="144"/>
    <x v="144"/>
    <x v="144"/>
    <n v="39235.120000000003"/>
    <n v="83"/>
    <x v="1"/>
    <n v="35.646457268078883"/>
    <s v="Obese"/>
    <s v="Dr. Anita Sanchez"/>
  </r>
  <r>
    <s v="PT-1269"/>
    <x v="251"/>
    <n v="77"/>
    <x v="1"/>
    <x v="3"/>
    <s v="Unknown"/>
    <x v="15"/>
    <n v="145"/>
    <n v="105"/>
    <s v="No"/>
    <s v="No"/>
    <x v="0"/>
    <x v="238"/>
    <x v="238"/>
    <x v="238"/>
    <n v="32291.919999999998"/>
    <n v="42"/>
    <x v="2"/>
    <n v="49.940546967895365"/>
    <s v="Obese"/>
    <s v="Dr. Sunita Sanchez"/>
  </r>
  <r>
    <s v="PT-1270"/>
    <x v="252"/>
    <n v="69"/>
    <x v="1"/>
    <x v="1"/>
    <s v="Ab+"/>
    <x v="5"/>
    <n v="168.8"/>
    <s v="Invalid"/>
    <s v="No"/>
    <s v="Yes"/>
    <x v="2"/>
    <x v="239"/>
    <x v="239"/>
    <x v="239"/>
    <n v="0"/>
    <n v="35"/>
    <x v="2"/>
    <s v="Unknown"/>
    <s v="Unknown"/>
    <s v="Dr. Neha Liu"/>
  </r>
  <r>
    <s v="PT-1271"/>
    <x v="253"/>
    <n v="43"/>
    <x v="0"/>
    <x v="5"/>
    <s v="B-"/>
    <x v="2"/>
    <n v="164"/>
    <n v="93"/>
    <s v="Yes"/>
    <s v="No"/>
    <x v="2"/>
    <x v="240"/>
    <x v="240"/>
    <x v="240"/>
    <n v="27606.82"/>
    <n v="35"/>
    <x v="1"/>
    <n v="34.577632361689474"/>
    <s v="Obese"/>
    <s v="Dr. Neha Liu"/>
  </r>
  <r>
    <s v="PT-1273"/>
    <x v="254"/>
    <n v="33"/>
    <x v="0"/>
    <x v="10"/>
    <s v="B+"/>
    <x v="13"/>
    <n v="177"/>
    <n v="100.1"/>
    <s v="Yes"/>
    <s v="Yes"/>
    <x v="4"/>
    <x v="123"/>
    <x v="123"/>
    <x v="123"/>
    <n v="38966.74"/>
    <n v="45"/>
    <x v="1"/>
    <n v="31.951227297392187"/>
    <s v="Obese"/>
    <s v="Dr. Rahul Nair"/>
  </r>
  <r>
    <s v="PT-1274"/>
    <x v="255"/>
    <n v="26"/>
    <x v="2"/>
    <x v="1"/>
    <s v="O-"/>
    <x v="13"/>
    <n v="152.19999999999999"/>
    <n v="97.9"/>
    <s v="Unknown"/>
    <s v="Yes"/>
    <x v="3"/>
    <x v="241"/>
    <x v="241"/>
    <x v="241"/>
    <n v="3985.41"/>
    <n v="107"/>
    <x v="1"/>
    <n v="42.262325144486226"/>
    <s v="Obese"/>
    <s v="Dr. Vikram Wang"/>
  </r>
  <r>
    <s v="PT-1276"/>
    <x v="256"/>
    <n v="81"/>
    <x v="0"/>
    <x v="1"/>
    <s v="O+"/>
    <x v="12"/>
    <n v="172"/>
    <n v="66"/>
    <s v="Yes"/>
    <s v="Yes"/>
    <x v="3"/>
    <x v="83"/>
    <x v="83"/>
    <x v="83"/>
    <n v="9954.66"/>
    <n v="107"/>
    <x v="2"/>
    <n v="22.309356408869661"/>
    <s v="Normal"/>
    <s v="Dr. Vikram Wang"/>
  </r>
  <r>
    <s v="PT-1277"/>
    <x v="257"/>
    <n v="95"/>
    <x v="1"/>
    <x v="3"/>
    <s v="A-"/>
    <x v="19"/>
    <n v="175.4"/>
    <n v="61.5"/>
    <s v="No"/>
    <s v="Yes"/>
    <x v="2"/>
    <x v="87"/>
    <x v="87"/>
    <x v="87"/>
    <n v="26930.03"/>
    <n v="35"/>
    <x v="2"/>
    <n v="19.9901446961433"/>
    <s v="Normal"/>
    <s v="Dr. Neha Liu"/>
  </r>
  <r>
    <s v="PT-1278"/>
    <x v="251"/>
    <n v="6"/>
    <x v="0"/>
    <x v="1"/>
    <s v="Ab+"/>
    <x v="15"/>
    <n v="187"/>
    <n v="61"/>
    <s v="Yes"/>
    <s v="Unknown"/>
    <x v="3"/>
    <x v="242"/>
    <x v="242"/>
    <x v="242"/>
    <n v="1443.62"/>
    <n v="107"/>
    <x v="0"/>
    <n v="17.444021847922443"/>
    <s v="Underweight"/>
    <s v="Dr. Vikram Wang"/>
  </r>
  <r>
    <s v="PT-1279"/>
    <x v="258"/>
    <n v="40"/>
    <x v="1"/>
    <x v="1"/>
    <s v="Ab-"/>
    <x v="11"/>
    <n v="148"/>
    <n v="94"/>
    <s v="No"/>
    <s v="No"/>
    <x v="11"/>
    <x v="243"/>
    <x v="243"/>
    <x v="243"/>
    <n v="34080.69"/>
    <n v="31"/>
    <x v="1"/>
    <n v="42.914536157779402"/>
    <s v="Obese"/>
    <s v="Dr. Suresh Johnson"/>
  </r>
  <r>
    <s v="PT-1280"/>
    <x v="259"/>
    <n v="6"/>
    <x v="2"/>
    <x v="4"/>
    <s v="O+"/>
    <x v="16"/>
    <n v="152"/>
    <n v="73"/>
    <s v="No"/>
    <s v="No"/>
    <x v="7"/>
    <x v="244"/>
    <x v="244"/>
    <x v="244"/>
    <n v="5448.41"/>
    <n v="35"/>
    <x v="0"/>
    <n v="31.596260387811633"/>
    <s v="Obese"/>
    <s v="Dr. Meera Torres"/>
  </r>
  <r>
    <s v="PT-1281"/>
    <x v="260"/>
    <s v="Invalid"/>
    <x v="1"/>
    <x v="3"/>
    <s v="B+"/>
    <x v="7"/>
    <n v="184.6"/>
    <n v="58.6"/>
    <s v="Yes"/>
    <s v="No"/>
    <x v="11"/>
    <x v="245"/>
    <x v="245"/>
    <x v="245"/>
    <n v="0"/>
    <n v="31"/>
    <x v="4"/>
    <n v="17.196268703143105"/>
    <s v="Underweight"/>
    <s v="Dr. Suresh Johnson"/>
  </r>
  <r>
    <s v="PT-1282"/>
    <x v="261"/>
    <s v="Invalid"/>
    <x v="1"/>
    <x v="0"/>
    <s v="B-"/>
    <x v="5"/>
    <n v="175.4"/>
    <n v="96"/>
    <s v="Yes"/>
    <s v="Yes"/>
    <x v="9"/>
    <x v="246"/>
    <x v="246"/>
    <x v="246"/>
    <n v="34419.57"/>
    <n v="35"/>
    <x v="4"/>
    <n v="31.204128306174908"/>
    <s v="Obese"/>
    <s v="Dr. Vikram Khan"/>
  </r>
  <r>
    <s v="PT-1283"/>
    <x v="262"/>
    <n v="27"/>
    <x v="0"/>
    <x v="5"/>
    <s v="O+"/>
    <x v="11"/>
    <n v="183"/>
    <n v="45"/>
    <s v="Yes"/>
    <s v="Yes"/>
    <x v="5"/>
    <x v="247"/>
    <x v="247"/>
    <x v="247"/>
    <n v="4007.55"/>
    <n v="37"/>
    <x v="1"/>
    <n v="13.437248051599031"/>
    <s v="Underweight"/>
    <s v="Dr. Arvind Chen"/>
  </r>
  <r>
    <s v="PT-1284"/>
    <x v="263"/>
    <n v="30"/>
    <x v="0"/>
    <x v="1"/>
    <s v="O+"/>
    <x v="6"/>
    <n v="186"/>
    <n v="58"/>
    <s v="No"/>
    <s v="No"/>
    <x v="6"/>
    <x v="248"/>
    <x v="248"/>
    <x v="248"/>
    <n v="44579.199999999997"/>
    <n v="24"/>
    <x v="1"/>
    <n v="16.76494392415308"/>
    <s v="Underweight"/>
    <s v="Dr. Sunita Zhang"/>
  </r>
  <r>
    <s v="PT-1285"/>
    <x v="246"/>
    <n v="81"/>
    <x v="1"/>
    <x v="5"/>
    <s v="Ab+"/>
    <x v="3"/>
    <n v="180"/>
    <n v="50"/>
    <s v="No"/>
    <s v="Yes"/>
    <x v="3"/>
    <x v="249"/>
    <x v="249"/>
    <x v="249"/>
    <n v="44377.24"/>
    <n v="78"/>
    <x v="2"/>
    <n v="15.432098765432098"/>
    <s v="Underweight"/>
    <s v="Dr. Vikram Wang"/>
  </r>
  <r>
    <s v="PT-1286"/>
    <x v="189"/>
    <n v="30"/>
    <x v="1"/>
    <x v="14"/>
    <s v="Unknown"/>
    <x v="4"/>
    <n v="170"/>
    <n v="106"/>
    <s v="No"/>
    <s v="No"/>
    <x v="11"/>
    <x v="250"/>
    <x v="250"/>
    <x v="250"/>
    <n v="47339.49"/>
    <n v="1"/>
    <x v="1"/>
    <n v="36.678200692041528"/>
    <s v="Obese"/>
    <s v="Dr. Suresh Johnson"/>
  </r>
  <r>
    <s v="PT-1287"/>
    <x v="264"/>
    <n v="65"/>
    <x v="0"/>
    <x v="14"/>
    <s v="Ab+"/>
    <x v="5"/>
    <n v="159"/>
    <n v="62"/>
    <s v="Unknown"/>
    <s v="Unknown"/>
    <x v="11"/>
    <x v="251"/>
    <x v="251"/>
    <x v="251"/>
    <n v="18241.080000000002"/>
    <n v="31"/>
    <x v="2"/>
    <n v="24.524346347059055"/>
    <s v="Normal"/>
    <s v="Dr. Suresh Johnson"/>
  </r>
  <r>
    <s v="PT-1289"/>
    <x v="220"/>
    <n v="11"/>
    <x v="2"/>
    <x v="9"/>
    <s v="A-"/>
    <x v="5"/>
    <n v="149"/>
    <n v="73"/>
    <s v="No"/>
    <s v="No"/>
    <x v="3"/>
    <x v="252"/>
    <x v="252"/>
    <x v="252"/>
    <n v="35612.19"/>
    <n v="107"/>
    <x v="0"/>
    <n v="32.881401738660422"/>
    <s v="Obese"/>
    <s v="Dr. Vikram Wang"/>
  </r>
  <r>
    <s v="PT-1290"/>
    <x v="265"/>
    <n v="90"/>
    <x v="1"/>
    <x v="7"/>
    <s v="Ab-"/>
    <x v="3"/>
    <n v="180"/>
    <n v="45.7"/>
    <s v="No"/>
    <s v="No"/>
    <x v="1"/>
    <x v="253"/>
    <x v="253"/>
    <x v="253"/>
    <n v="23773.11"/>
    <n v="38"/>
    <x v="2"/>
    <n v="14.104938271604938"/>
    <s v="Underweight"/>
    <s v="Dr. Arvind Wilson"/>
  </r>
  <r>
    <s v="PT-1291"/>
    <x v="69"/>
    <n v="89"/>
    <x v="0"/>
    <x v="1"/>
    <s v="Ab+"/>
    <x v="7"/>
    <n v="145.6"/>
    <n v="66"/>
    <s v="No"/>
    <s v="Yes"/>
    <x v="10"/>
    <x v="254"/>
    <x v="254"/>
    <x v="254"/>
    <n v="7823.73"/>
    <n v="83"/>
    <x v="2"/>
    <n v="31.133015336312038"/>
    <s v="Obese"/>
    <s v="Dr. Anita Sanchez"/>
  </r>
  <r>
    <s v="PT-1292"/>
    <x v="266"/>
    <n v="17"/>
    <x v="1"/>
    <x v="2"/>
    <s v="Unknown"/>
    <x v="7"/>
    <n v="186.6"/>
    <s v="Invalid"/>
    <s v="Yes"/>
    <s v="Unknown"/>
    <x v="10"/>
    <x v="255"/>
    <x v="255"/>
    <x v="255"/>
    <n v="17468.23"/>
    <n v="83"/>
    <x v="0"/>
    <s v="Unknown"/>
    <s v="Unknown"/>
    <s v="Dr. Anita Sanchez"/>
  </r>
  <r>
    <s v="PT-1293"/>
    <x v="267"/>
    <n v="39"/>
    <x v="2"/>
    <x v="3"/>
    <s v="B+"/>
    <x v="14"/>
    <n v="171"/>
    <n v="109"/>
    <s v="Yes"/>
    <s v="No"/>
    <x v="10"/>
    <x v="256"/>
    <x v="256"/>
    <x v="256"/>
    <n v="31122.2"/>
    <n v="83"/>
    <x v="1"/>
    <n v="37.276426934783359"/>
    <s v="Obese"/>
    <s v="Dr. Anita Sanchez"/>
  </r>
  <r>
    <s v="PT-1294"/>
    <x v="268"/>
    <n v="41"/>
    <x v="2"/>
    <x v="3"/>
    <s v="Ab-"/>
    <x v="2"/>
    <n v="165.4"/>
    <n v="128"/>
    <s v="No"/>
    <s v="No"/>
    <x v="1"/>
    <x v="257"/>
    <x v="257"/>
    <x v="257"/>
    <n v="15427.21"/>
    <n v="38"/>
    <x v="1"/>
    <n v="46.788482430193767"/>
    <s v="Obese"/>
    <s v="Dr. Arvind Wilson"/>
  </r>
  <r>
    <s v="PT-1295"/>
    <x v="269"/>
    <n v="95"/>
    <x v="2"/>
    <x v="12"/>
    <s v="O+"/>
    <x v="13"/>
    <n v="178"/>
    <n v="108"/>
    <s v="Unknown"/>
    <s v="Unknown"/>
    <x v="7"/>
    <x v="258"/>
    <x v="258"/>
    <x v="258"/>
    <n v="34612.78"/>
    <n v="35"/>
    <x v="2"/>
    <n v="34.086605226612804"/>
    <s v="Obese"/>
    <s v="Dr. Meera Torres"/>
  </r>
  <r>
    <s v="PT-1296"/>
    <x v="270"/>
    <n v="29"/>
    <x v="1"/>
    <x v="2"/>
    <s v="B+"/>
    <x v="3"/>
    <n v="177.6"/>
    <n v="60"/>
    <s v="No"/>
    <s v="Yes"/>
    <x v="3"/>
    <x v="178"/>
    <x v="178"/>
    <x v="178"/>
    <n v="33742.11"/>
    <n v="107"/>
    <x v="1"/>
    <n v="19.022400779157536"/>
    <s v="Normal"/>
    <s v="Dr. Vikram Wang"/>
  </r>
  <r>
    <s v="PT-1297"/>
    <x v="271"/>
    <n v="86"/>
    <x v="1"/>
    <x v="1"/>
    <s v="O+"/>
    <x v="17"/>
    <n v="153.6"/>
    <s v="Invalid"/>
    <s v="No"/>
    <s v="No"/>
    <x v="10"/>
    <x v="259"/>
    <x v="259"/>
    <x v="259"/>
    <n v="4836.13"/>
    <n v="83"/>
    <x v="2"/>
    <s v="Unknown"/>
    <s v="Unknown"/>
    <s v="Dr. Anita Sanchez"/>
  </r>
  <r>
    <s v="PT-1298"/>
    <x v="272"/>
    <n v="55"/>
    <x v="1"/>
    <x v="14"/>
    <s v="O+"/>
    <x v="15"/>
    <n v="162"/>
    <n v="129"/>
    <s v="No"/>
    <s v="No"/>
    <x v="4"/>
    <x v="260"/>
    <x v="260"/>
    <x v="260"/>
    <n v="827.63"/>
    <n v="45"/>
    <x v="1"/>
    <n v="49.1540923639689"/>
    <s v="Obese"/>
    <s v="Dr. Rahul Nair"/>
  </r>
  <r>
    <s v="PT-1299"/>
    <x v="273"/>
    <n v="24"/>
    <x v="1"/>
    <x v="1"/>
    <s v="B+"/>
    <x v="12"/>
    <n v="171"/>
    <n v="67.400000000000006"/>
    <s v="No"/>
    <s v="Yes"/>
    <x v="4"/>
    <x v="123"/>
    <x v="123"/>
    <x v="123"/>
    <n v="13502.51"/>
    <n v="45"/>
    <x v="3"/>
    <n v="23.049827297288058"/>
    <s v="Normal"/>
    <s v="Dr. Rahul Nair"/>
  </r>
  <r>
    <s v="PT-1300"/>
    <x v="274"/>
    <n v="89"/>
    <x v="0"/>
    <x v="7"/>
    <s v="A+"/>
    <x v="1"/>
    <n v="153.80000000000001"/>
    <n v="72.599999999999994"/>
    <s v="Unknown"/>
    <s v="Yes"/>
    <x v="8"/>
    <x v="261"/>
    <x v="261"/>
    <x v="261"/>
    <n v="34452.69"/>
    <n v="34"/>
    <x v="2"/>
    <n v="30.691912385158975"/>
    <s v="Obese"/>
    <s v="Dr. Vikram Torres"/>
  </r>
  <r>
    <s v="PT-1301"/>
    <x v="275"/>
    <n v="75"/>
    <x v="0"/>
    <x v="3"/>
    <s v="O+"/>
    <x v="7"/>
    <n v="188"/>
    <s v="Invalid"/>
    <s v="No"/>
    <s v="Unknown"/>
    <x v="7"/>
    <x v="262"/>
    <x v="262"/>
    <x v="262"/>
    <n v="14847.88"/>
    <n v="35"/>
    <x v="2"/>
    <s v="Unknown"/>
    <s v="Unknown"/>
    <s v="Dr. Meera Torres"/>
  </r>
  <r>
    <s v="PT-1302"/>
    <x v="276"/>
    <n v="22"/>
    <x v="2"/>
    <x v="9"/>
    <s v="O+"/>
    <x v="15"/>
    <n v="160.9"/>
    <n v="102"/>
    <s v="Yes"/>
    <s v="No"/>
    <x v="10"/>
    <x v="263"/>
    <x v="263"/>
    <x v="263"/>
    <n v="7279"/>
    <n v="83"/>
    <x v="3"/>
    <n v="39.39926168873734"/>
    <s v="Obese"/>
    <s v="Dr. Anita Sanchez"/>
  </r>
  <r>
    <s v="PT-1303"/>
    <x v="277"/>
    <n v="25"/>
    <x v="0"/>
    <x v="15"/>
    <s v="B-"/>
    <x v="7"/>
    <n v="190.7"/>
    <n v="83.2"/>
    <s v="Unknown"/>
    <s v="No"/>
    <x v="3"/>
    <x v="258"/>
    <x v="258"/>
    <x v="258"/>
    <n v="26394.49"/>
    <n v="107"/>
    <x v="3"/>
    <n v="22.878204632891439"/>
    <s v="Normal"/>
    <s v="Dr. Vikram Wang"/>
  </r>
  <r>
    <s v="PT-1304"/>
    <x v="278"/>
    <n v="19"/>
    <x v="1"/>
    <x v="7"/>
    <s v="B+"/>
    <x v="18"/>
    <n v="185"/>
    <n v="111"/>
    <s v="Yes"/>
    <s v="No"/>
    <x v="4"/>
    <x v="264"/>
    <x v="264"/>
    <x v="264"/>
    <n v="0"/>
    <n v="45"/>
    <x v="3"/>
    <n v="32.432432432432428"/>
    <s v="Obese"/>
    <s v="Dr. Rahul Nair"/>
  </r>
  <r>
    <s v="PT-1305"/>
    <x v="279"/>
    <s v="Invalid"/>
    <x v="0"/>
    <x v="9"/>
    <s v="B-"/>
    <x v="15"/>
    <n v="155.9"/>
    <n v="72"/>
    <s v="Yes"/>
    <s v="Unknown"/>
    <x v="10"/>
    <x v="265"/>
    <x v="265"/>
    <x v="265"/>
    <n v="8447.59"/>
    <n v="83"/>
    <x v="4"/>
    <n v="29.623765830714163"/>
    <s v="Overweight"/>
    <s v="Dr. Anita Sanchez"/>
  </r>
  <r>
    <s v="PT-1306"/>
    <x v="80"/>
    <n v="2"/>
    <x v="2"/>
    <x v="0"/>
    <s v="Ab+"/>
    <x v="8"/>
    <n v="193"/>
    <n v="49"/>
    <s v="Yes"/>
    <s v="Unknown"/>
    <x v="5"/>
    <x v="78"/>
    <x v="78"/>
    <x v="78"/>
    <n v="29674.34"/>
    <n v="37"/>
    <x v="0"/>
    <n v="13.154715562833902"/>
    <s v="Underweight"/>
    <s v="Dr. Arvind Chen"/>
  </r>
  <r>
    <s v="PT-1307"/>
    <x v="280"/>
    <n v="53"/>
    <x v="1"/>
    <x v="7"/>
    <s v="O+"/>
    <x v="1"/>
    <n v="160.80000000000001"/>
    <n v="103"/>
    <s v="No"/>
    <s v="No"/>
    <x v="5"/>
    <x v="266"/>
    <x v="266"/>
    <x v="266"/>
    <n v="14538.77"/>
    <n v="37"/>
    <x v="1"/>
    <n v="39.8350288359199"/>
    <s v="Obese"/>
    <s v="Dr. Arvind Chen"/>
  </r>
  <r>
    <s v="PT-1308"/>
    <x v="180"/>
    <n v="55"/>
    <x v="1"/>
    <x v="1"/>
    <s v="Unknown"/>
    <x v="9"/>
    <n v="176"/>
    <n v="76"/>
    <s v="No"/>
    <s v="Yes"/>
    <x v="11"/>
    <x v="267"/>
    <x v="267"/>
    <x v="267"/>
    <n v="29732.58"/>
    <n v="31"/>
    <x v="1"/>
    <n v="24.535123966942148"/>
    <s v="Normal"/>
    <s v="Dr. Suresh Johnson"/>
  </r>
  <r>
    <s v="PT-1309"/>
    <x v="281"/>
    <n v="77"/>
    <x v="1"/>
    <x v="1"/>
    <s v="B-"/>
    <x v="6"/>
    <n v="180.8"/>
    <n v="108.9"/>
    <s v="Unknown"/>
    <s v="Yes"/>
    <x v="10"/>
    <x v="260"/>
    <x v="260"/>
    <x v="260"/>
    <n v="30356.69"/>
    <n v="83"/>
    <x v="2"/>
    <n v="33.314325710705617"/>
    <s v="Obese"/>
    <s v="Dr. Anita Sanchez"/>
  </r>
  <r>
    <s v="PT-1310"/>
    <x v="282"/>
    <n v="64"/>
    <x v="1"/>
    <x v="9"/>
    <s v="O+"/>
    <x v="4"/>
    <n v="183.7"/>
    <n v="85"/>
    <s v="Yes"/>
    <s v="Yes"/>
    <x v="6"/>
    <x v="268"/>
    <x v="268"/>
    <x v="268"/>
    <n v="15486.25"/>
    <n v="30"/>
    <x v="2"/>
    <n v="25.188401837390199"/>
    <s v="Overweight"/>
    <s v="Dr. Sunita Zhang"/>
  </r>
  <r>
    <s v="PT-1311"/>
    <x v="283"/>
    <n v="85"/>
    <x v="1"/>
    <x v="13"/>
    <s v="A+"/>
    <x v="12"/>
    <n v="162"/>
    <n v="42.8"/>
    <s v="No"/>
    <s v="Yes"/>
    <x v="5"/>
    <x v="210"/>
    <x v="210"/>
    <x v="210"/>
    <n v="0"/>
    <n v="37"/>
    <x v="2"/>
    <n v="16.30848955951836"/>
    <s v="Underweight"/>
    <s v="Dr. Arvind Chen"/>
  </r>
  <r>
    <s v="PT-1312"/>
    <x v="284"/>
    <n v="56"/>
    <x v="0"/>
    <x v="8"/>
    <s v="Ab+"/>
    <x v="5"/>
    <n v="146.9"/>
    <n v="101.7"/>
    <s v="No"/>
    <s v="Yes"/>
    <x v="8"/>
    <x v="269"/>
    <x v="269"/>
    <x v="269"/>
    <n v="3258.99"/>
    <n v="34"/>
    <x v="1"/>
    <n v="47.127821123736709"/>
    <s v="Obese"/>
    <s v="Dr. Vikram Torres"/>
  </r>
  <r>
    <s v="PT-1313"/>
    <x v="285"/>
    <n v="8"/>
    <x v="0"/>
    <x v="11"/>
    <s v="A-"/>
    <x v="18"/>
    <n v="171.9"/>
    <n v="96.3"/>
    <s v="No"/>
    <s v="Yes"/>
    <x v="10"/>
    <x v="270"/>
    <x v="270"/>
    <x v="270"/>
    <n v="17887.830000000002"/>
    <n v="83"/>
    <x v="0"/>
    <n v="32.589262599404861"/>
    <s v="Obese"/>
    <s v="Dr. Anita Sanchez"/>
  </r>
  <r>
    <s v="PT-1314"/>
    <x v="286"/>
    <n v="40"/>
    <x v="1"/>
    <x v="9"/>
    <s v="O-"/>
    <x v="4"/>
    <n v="190"/>
    <n v="121.1"/>
    <s v="Yes"/>
    <s v="Unknown"/>
    <x v="5"/>
    <x v="271"/>
    <x v="271"/>
    <x v="271"/>
    <n v="19198.009999999998"/>
    <n v="37"/>
    <x v="1"/>
    <n v="33.545706371191137"/>
    <s v="Obese"/>
    <s v="Dr. Arvind Chen"/>
  </r>
  <r>
    <s v="PT-1315"/>
    <x v="134"/>
    <n v="86"/>
    <x v="1"/>
    <x v="4"/>
    <s v="B+"/>
    <x v="3"/>
    <n v="186"/>
    <n v="88.2"/>
    <s v="Yes"/>
    <s v="Yes"/>
    <x v="10"/>
    <x v="98"/>
    <x v="98"/>
    <x v="98"/>
    <n v="31416.33"/>
    <n v="83"/>
    <x v="2"/>
    <n v="25.494276795005199"/>
    <s v="Overweight"/>
    <s v="Dr. Anita Sanchez"/>
  </r>
  <r>
    <s v="PT-1316"/>
    <x v="287"/>
    <n v="68"/>
    <x v="1"/>
    <x v="14"/>
    <s v="Ab+"/>
    <x v="3"/>
    <n v="172"/>
    <n v="67"/>
    <s v="No"/>
    <s v="Yes"/>
    <x v="11"/>
    <x v="272"/>
    <x v="272"/>
    <x v="272"/>
    <n v="26010.78"/>
    <n v="31"/>
    <x v="2"/>
    <n v="22.647376960519203"/>
    <s v="Normal"/>
    <s v="Dr. Suresh Johnson"/>
  </r>
  <r>
    <s v="PT-1317"/>
    <x v="288"/>
    <n v="28"/>
    <x v="0"/>
    <x v="0"/>
    <s v="Ab-"/>
    <x v="2"/>
    <s v="Invalid"/>
    <n v="105"/>
    <s v="Yes"/>
    <s v="No"/>
    <x v="10"/>
    <x v="273"/>
    <x v="273"/>
    <x v="273"/>
    <n v="12398.51"/>
    <n v="83"/>
    <x v="1"/>
    <s v="Unknown"/>
    <s v="Unknown"/>
    <s v="Dr. Anita Sanchez"/>
  </r>
  <r>
    <s v="PT-1318"/>
    <x v="289"/>
    <n v="82"/>
    <x v="1"/>
    <x v="14"/>
    <s v="A+"/>
    <x v="15"/>
    <n v="186"/>
    <n v="50"/>
    <s v="Yes"/>
    <s v="No"/>
    <x v="4"/>
    <x v="274"/>
    <x v="274"/>
    <x v="274"/>
    <n v="24526.43"/>
    <n v="45"/>
    <x v="2"/>
    <n v="14.452537865649207"/>
    <s v="Underweight"/>
    <s v="Dr. Rahul Nair"/>
  </r>
  <r>
    <s v="PT-1319"/>
    <x v="290"/>
    <s v="Invalid"/>
    <x v="0"/>
    <x v="5"/>
    <s v="O-"/>
    <x v="13"/>
    <n v="193.2"/>
    <n v="45"/>
    <s v="No"/>
    <s v="No"/>
    <x v="10"/>
    <x v="275"/>
    <x v="275"/>
    <x v="275"/>
    <n v="44890.28"/>
    <n v="39"/>
    <x v="4"/>
    <n v="12.055862042359477"/>
    <s v="Underweight"/>
    <s v="Dr. Anita Sanchez"/>
  </r>
  <r>
    <s v="PT-1320"/>
    <x v="291"/>
    <n v="65"/>
    <x v="1"/>
    <x v="12"/>
    <s v="A+"/>
    <x v="5"/>
    <n v="180"/>
    <n v="68.2"/>
    <s v="Unknown"/>
    <s v="Unknown"/>
    <x v="9"/>
    <x v="276"/>
    <x v="276"/>
    <x v="276"/>
    <n v="7641.76"/>
    <n v="35"/>
    <x v="2"/>
    <n v="21.049382716049383"/>
    <s v="Normal"/>
    <s v="Dr. Vikram Khan"/>
  </r>
  <r>
    <s v="PT-1321"/>
    <x v="292"/>
    <n v="90"/>
    <x v="1"/>
    <x v="9"/>
    <s v="Unknown"/>
    <x v="5"/>
    <n v="157"/>
    <n v="104.4"/>
    <s v="Yes"/>
    <s v="Unknown"/>
    <x v="7"/>
    <x v="241"/>
    <x v="241"/>
    <x v="241"/>
    <n v="33280.06"/>
    <n v="35"/>
    <x v="2"/>
    <n v="42.354659418231975"/>
    <s v="Obese"/>
    <s v="Dr. Meera Torres"/>
  </r>
  <r>
    <s v="PT-1322"/>
    <x v="293"/>
    <n v="90"/>
    <x v="1"/>
    <x v="2"/>
    <s v="B-"/>
    <x v="12"/>
    <n v="180"/>
    <s v="Invalid"/>
    <s v="No"/>
    <s v="Yes"/>
    <x v="10"/>
    <x v="277"/>
    <x v="277"/>
    <x v="277"/>
    <n v="15222.43"/>
    <n v="83"/>
    <x v="2"/>
    <s v="Unknown"/>
    <s v="Unknown"/>
    <s v="Dr. Anita Sanchez"/>
  </r>
  <r>
    <s v="PT-1323"/>
    <x v="100"/>
    <n v="11"/>
    <x v="1"/>
    <x v="7"/>
    <s v="Unknown"/>
    <x v="5"/>
    <n v="188"/>
    <n v="119"/>
    <s v="Yes"/>
    <s v="Unknown"/>
    <x v="10"/>
    <x v="278"/>
    <x v="278"/>
    <x v="278"/>
    <n v="17916.89"/>
    <n v="83"/>
    <x v="0"/>
    <n v="33.669081032141243"/>
    <s v="Obese"/>
    <s v="Dr. Anita Sanchez"/>
  </r>
  <r>
    <s v="PT-1324"/>
    <x v="294"/>
    <n v="24"/>
    <x v="0"/>
    <x v="10"/>
    <s v="O+"/>
    <x v="4"/>
    <n v="190.9"/>
    <n v="50"/>
    <s v="Yes"/>
    <s v="Unknown"/>
    <x v="4"/>
    <x v="279"/>
    <x v="279"/>
    <x v="279"/>
    <n v="34444.79"/>
    <n v="45"/>
    <x v="3"/>
    <n v="13.72012750937702"/>
    <s v="Underweight"/>
    <s v="Dr. Rahul Nair"/>
  </r>
  <r>
    <s v="PT-1325"/>
    <x v="295"/>
    <n v="42"/>
    <x v="0"/>
    <x v="8"/>
    <s v="Ab+"/>
    <x v="16"/>
    <n v="154.1"/>
    <n v="120"/>
    <s v="Yes"/>
    <s v="Yes"/>
    <x v="7"/>
    <x v="280"/>
    <x v="280"/>
    <x v="280"/>
    <n v="48719.31"/>
    <n v="1"/>
    <x v="1"/>
    <n v="50.533103183122286"/>
    <s v="Obese"/>
    <s v="Dr. Meera Torres"/>
  </r>
  <r>
    <s v="PT-1326"/>
    <x v="296"/>
    <n v="12"/>
    <x v="1"/>
    <x v="4"/>
    <s v="B-"/>
    <x v="4"/>
    <n v="165.2"/>
    <n v="84"/>
    <s v="Unknown"/>
    <s v="No"/>
    <x v="9"/>
    <x v="281"/>
    <x v="281"/>
    <x v="281"/>
    <n v="37448.93"/>
    <n v="35"/>
    <x v="0"/>
    <n v="30.779332704066981"/>
    <s v="Obese"/>
    <s v="Dr. Vikram Khan"/>
  </r>
  <r>
    <s v="PT-1327"/>
    <x v="297"/>
    <n v="24"/>
    <x v="0"/>
    <x v="3"/>
    <s v="A+"/>
    <x v="8"/>
    <n v="161"/>
    <n v="73.3"/>
    <s v="No"/>
    <s v="Yes"/>
    <x v="5"/>
    <x v="282"/>
    <x v="282"/>
    <x v="282"/>
    <n v="48732.76"/>
    <n v="1"/>
    <x v="3"/>
    <n v="28.278230006558385"/>
    <s v="Overweight"/>
    <s v="Dr. Arvind Chen"/>
  </r>
  <r>
    <s v="PT-1328"/>
    <x v="298"/>
    <n v="8"/>
    <x v="0"/>
    <x v="9"/>
    <s v="Ab-"/>
    <x v="5"/>
    <s v="Invalid"/>
    <s v="Invalid"/>
    <s v="Yes"/>
    <s v="No"/>
    <x v="11"/>
    <x v="283"/>
    <x v="283"/>
    <x v="283"/>
    <n v="33727.47"/>
    <n v="31"/>
    <x v="0"/>
    <s v="Unknown"/>
    <s v="Unknown"/>
    <s v="Dr. Suresh Johnson"/>
  </r>
  <r>
    <s v="PT-1329"/>
    <x v="299"/>
    <n v="44"/>
    <x v="1"/>
    <x v="3"/>
    <s v="B+"/>
    <x v="3"/>
    <n v="188.1"/>
    <n v="44"/>
    <s v="No"/>
    <s v="Yes"/>
    <x v="0"/>
    <x v="284"/>
    <x v="284"/>
    <x v="284"/>
    <n v="14504.81"/>
    <n v="42"/>
    <x v="1"/>
    <n v="12.435838843964421"/>
    <s v="Underweight"/>
    <s v="Dr. Sunita Sanchez"/>
  </r>
  <r>
    <s v="PT-1330"/>
    <x v="300"/>
    <n v="41"/>
    <x v="1"/>
    <x v="13"/>
    <s v="O+"/>
    <x v="12"/>
    <n v="177.9"/>
    <s v="Invalid"/>
    <s v="Yes"/>
    <s v="No"/>
    <x v="3"/>
    <x v="285"/>
    <x v="285"/>
    <x v="285"/>
    <n v="13381.09"/>
    <n v="107"/>
    <x v="1"/>
    <s v="Unknown"/>
    <s v="Unknown"/>
    <s v="Dr. Vikram Wang"/>
  </r>
  <r>
    <s v="PT-1331"/>
    <x v="301"/>
    <n v="72"/>
    <x v="1"/>
    <x v="10"/>
    <s v="Unknown"/>
    <x v="1"/>
    <n v="172"/>
    <n v="58.3"/>
    <s v="Yes"/>
    <s v="Yes"/>
    <x v="0"/>
    <x v="286"/>
    <x v="286"/>
    <x v="286"/>
    <n v="28380.75"/>
    <n v="42"/>
    <x v="2"/>
    <n v="19.706598161168198"/>
    <s v="Normal"/>
    <s v="Dr. Sunita Sanchez"/>
  </r>
  <r>
    <s v="PT-1332"/>
    <x v="302"/>
    <n v="10"/>
    <x v="1"/>
    <x v="7"/>
    <s v="Unknown"/>
    <x v="9"/>
    <n v="174"/>
    <s v="Invalid"/>
    <s v="Unknown"/>
    <s v="Unknown"/>
    <x v="3"/>
    <x v="287"/>
    <x v="287"/>
    <x v="287"/>
    <n v="29721.759999999998"/>
    <n v="107"/>
    <x v="0"/>
    <s v="Unknown"/>
    <s v="Unknown"/>
    <s v="Dr. Vikram Wang"/>
  </r>
  <r>
    <s v="PT-1333"/>
    <x v="303"/>
    <n v="59"/>
    <x v="0"/>
    <x v="5"/>
    <s v="A+"/>
    <x v="3"/>
    <n v="181.4"/>
    <n v="106"/>
    <s v="No"/>
    <s v="Yes"/>
    <x v="4"/>
    <x v="288"/>
    <x v="288"/>
    <x v="288"/>
    <n v="40008.28"/>
    <n v="45"/>
    <x v="1"/>
    <n v="32.213009436588386"/>
    <s v="Obese"/>
    <s v="Dr. Rahul Nair"/>
  </r>
  <r>
    <s v="PT-1334"/>
    <x v="304"/>
    <n v="52"/>
    <x v="1"/>
    <x v="9"/>
    <s v="Ab+"/>
    <x v="14"/>
    <n v="160.5"/>
    <n v="84.2"/>
    <s v="Unknown"/>
    <s v="Yes"/>
    <x v="7"/>
    <x v="289"/>
    <x v="289"/>
    <x v="289"/>
    <n v="33443.25"/>
    <n v="35"/>
    <x v="1"/>
    <n v="32.6860181869353"/>
    <s v="Obese"/>
    <s v="Dr. Meera Torres"/>
  </r>
  <r>
    <s v="PT-1335"/>
    <x v="305"/>
    <n v="12"/>
    <x v="0"/>
    <x v="14"/>
    <s v="O+"/>
    <x v="11"/>
    <n v="151.6"/>
    <s v="Invalid"/>
    <s v="No"/>
    <s v="Unknown"/>
    <x v="9"/>
    <x v="115"/>
    <x v="115"/>
    <x v="115"/>
    <n v="26600.3"/>
    <n v="35"/>
    <x v="0"/>
    <s v="Unknown"/>
    <s v="Unknown"/>
    <s v="Dr. Vikram Khan"/>
  </r>
  <r>
    <s v="PT-1335"/>
    <x v="306"/>
    <n v="93"/>
    <x v="1"/>
    <x v="0"/>
    <s v="Unknown"/>
    <x v="6"/>
    <n v="150.1"/>
    <n v="82"/>
    <s v="No"/>
    <s v="No"/>
    <x v="11"/>
    <x v="290"/>
    <x v="290"/>
    <x v="290"/>
    <n v="22214.7"/>
    <n v="31"/>
    <x v="2"/>
    <n v="36.395900401287001"/>
    <s v="Obese"/>
    <s v="Dr. Suresh Johnson"/>
  </r>
  <r>
    <s v="PT-1336"/>
    <x v="307"/>
    <n v="88"/>
    <x v="0"/>
    <x v="7"/>
    <s v="Unknown"/>
    <x v="8"/>
    <n v="185.5"/>
    <n v="86"/>
    <s v="No"/>
    <s v="No"/>
    <x v="2"/>
    <x v="291"/>
    <x v="291"/>
    <x v="291"/>
    <n v="13115.58"/>
    <n v="35"/>
    <x v="2"/>
    <n v="24.992553091012127"/>
    <s v="Normal"/>
    <s v="Dr. Neha Liu"/>
  </r>
  <r>
    <s v="PT-1337"/>
    <x v="308"/>
    <n v="51"/>
    <x v="0"/>
    <x v="1"/>
    <s v="Unknown"/>
    <x v="17"/>
    <n v="164"/>
    <n v="80.5"/>
    <s v="No"/>
    <s v="Yes"/>
    <x v="9"/>
    <x v="292"/>
    <x v="292"/>
    <x v="292"/>
    <n v="37477.949999999997"/>
    <n v="35"/>
    <x v="1"/>
    <n v="29.930101130279599"/>
    <s v="Overweight"/>
    <s v="Dr. Vikram Khan"/>
  </r>
  <r>
    <s v="PT-1338"/>
    <x v="309"/>
    <n v="22"/>
    <x v="0"/>
    <x v="13"/>
    <s v="Ab-"/>
    <x v="17"/>
    <n v="162"/>
    <n v="113.2"/>
    <s v="Unknown"/>
    <s v="Unknown"/>
    <x v="0"/>
    <x v="293"/>
    <x v="293"/>
    <x v="293"/>
    <n v="4837.9399999999996"/>
    <n v="42"/>
    <x v="3"/>
    <n v="43.133668648071932"/>
    <s v="Obese"/>
    <s v="Dr. Sunita Sanchez"/>
  </r>
  <r>
    <s v="PT-1339"/>
    <x v="310"/>
    <n v="84"/>
    <x v="0"/>
    <x v="9"/>
    <s v="Ab-"/>
    <x v="7"/>
    <n v="192"/>
    <n v="109"/>
    <s v="No"/>
    <s v="Yes"/>
    <x v="3"/>
    <x v="294"/>
    <x v="294"/>
    <x v="294"/>
    <n v="45169.56"/>
    <n v="9"/>
    <x v="2"/>
    <n v="29.568142361111111"/>
    <s v="Overweight"/>
    <s v="Dr. Vikram Wang"/>
  </r>
  <r>
    <s v="PT-1340"/>
    <x v="311"/>
    <n v="73"/>
    <x v="1"/>
    <x v="1"/>
    <s v="A-"/>
    <x v="3"/>
    <n v="165"/>
    <n v="104.2"/>
    <s v="No"/>
    <s v="Unknown"/>
    <x v="6"/>
    <x v="295"/>
    <x v="295"/>
    <x v="295"/>
    <n v="24631.08"/>
    <n v="30"/>
    <x v="2"/>
    <n v="38.273645546372826"/>
    <s v="Obese"/>
    <s v="Dr. Sunita Zhang"/>
  </r>
  <r>
    <s v="PT-1341"/>
    <x v="312"/>
    <n v="3"/>
    <x v="0"/>
    <x v="11"/>
    <s v="O+"/>
    <x v="12"/>
    <n v="158"/>
    <n v="50.5"/>
    <s v="No"/>
    <s v="Unknown"/>
    <x v="11"/>
    <x v="36"/>
    <x v="36"/>
    <x v="36"/>
    <n v="14756.53"/>
    <n v="31"/>
    <x v="0"/>
    <n v="20.229129947123855"/>
    <s v="Normal"/>
    <s v="Dr. Suresh Johnson"/>
  </r>
  <r>
    <s v="PT-1342"/>
    <x v="313"/>
    <n v="78"/>
    <x v="1"/>
    <x v="3"/>
    <s v="Ab-"/>
    <x v="18"/>
    <n v="166.2"/>
    <n v="115"/>
    <s v="No"/>
    <s v="Yes"/>
    <x v="6"/>
    <x v="296"/>
    <x v="296"/>
    <x v="296"/>
    <n v="34689.53"/>
    <n v="30"/>
    <x v="2"/>
    <n v="41.632817376017471"/>
    <s v="Obese"/>
    <s v="Dr. Sunita Zhang"/>
  </r>
  <r>
    <s v="PT-1343"/>
    <x v="314"/>
    <n v="64"/>
    <x v="0"/>
    <x v="7"/>
    <s v="Ab+"/>
    <x v="12"/>
    <n v="183"/>
    <s v="Invalid"/>
    <s v="Yes"/>
    <s v="No"/>
    <x v="2"/>
    <x v="297"/>
    <x v="297"/>
    <x v="297"/>
    <n v="41483.46"/>
    <n v="35"/>
    <x v="2"/>
    <s v="Unknown"/>
    <s v="Unknown"/>
    <s v="Dr. Neha Liu"/>
  </r>
  <r>
    <s v="PT-1344"/>
    <x v="315"/>
    <n v="29"/>
    <x v="1"/>
    <x v="5"/>
    <s v="O+"/>
    <x v="15"/>
    <s v="Invalid"/>
    <n v="117"/>
    <s v="Unknown"/>
    <s v="Yes"/>
    <x v="7"/>
    <x v="298"/>
    <x v="298"/>
    <x v="298"/>
    <n v="48151.03"/>
    <n v="1"/>
    <x v="1"/>
    <s v="Unknown"/>
    <s v="Unknown"/>
    <s v="Dr. Meera Torres"/>
  </r>
  <r>
    <s v="PT-1345"/>
    <x v="316"/>
    <s v="Invalid"/>
    <x v="0"/>
    <x v="9"/>
    <s v="B-"/>
    <x v="4"/>
    <n v="157"/>
    <n v="108.6"/>
    <s v="Unknown"/>
    <s v="No"/>
    <x v="3"/>
    <x v="299"/>
    <x v="299"/>
    <x v="299"/>
    <n v="41048.46"/>
    <n v="107"/>
    <x v="4"/>
    <n v="44.05858249827579"/>
    <s v="Obese"/>
    <s v="Dr. Vikram Wang"/>
  </r>
  <r>
    <s v="PT-1346"/>
    <x v="317"/>
    <n v="44"/>
    <x v="0"/>
    <x v="12"/>
    <s v="O-"/>
    <x v="16"/>
    <n v="149"/>
    <n v="100"/>
    <s v="Yes"/>
    <s v="Yes"/>
    <x v="4"/>
    <x v="56"/>
    <x v="56"/>
    <x v="56"/>
    <n v="40187.550000000003"/>
    <n v="45"/>
    <x v="1"/>
    <n v="45.043016080356743"/>
    <s v="Obese"/>
    <s v="Dr. Rahul Nair"/>
  </r>
  <r>
    <s v="PT-1347"/>
    <x v="318"/>
    <n v="2"/>
    <x v="1"/>
    <x v="12"/>
    <s v="B+"/>
    <x v="16"/>
    <n v="189"/>
    <n v="75"/>
    <s v="Unknown"/>
    <s v="Unknown"/>
    <x v="3"/>
    <x v="300"/>
    <x v="300"/>
    <x v="300"/>
    <n v="49012.33"/>
    <n v="1"/>
    <x v="0"/>
    <n v="20.99605274208449"/>
    <s v="Normal"/>
    <s v="Dr. Vikram Wang"/>
  </r>
  <r>
    <s v="PT-1348"/>
    <x v="319"/>
    <n v="39"/>
    <x v="1"/>
    <x v="0"/>
    <s v="O+"/>
    <x v="3"/>
    <n v="187.5"/>
    <n v="88"/>
    <s v="Unknown"/>
    <s v="Yes"/>
    <x v="5"/>
    <x v="301"/>
    <x v="301"/>
    <x v="301"/>
    <n v="31405.8"/>
    <n v="37"/>
    <x v="1"/>
    <n v="25.031111111111112"/>
    <s v="Overweight"/>
    <s v="Dr. Arvind Chen"/>
  </r>
  <r>
    <s v="PT-1349"/>
    <x v="67"/>
    <n v="11"/>
    <x v="0"/>
    <x v="15"/>
    <s v="O+"/>
    <x v="3"/>
    <n v="192.8"/>
    <n v="89"/>
    <s v="No"/>
    <s v="Yes"/>
    <x v="1"/>
    <x v="236"/>
    <x v="236"/>
    <x v="236"/>
    <n v="17365.09"/>
    <n v="38"/>
    <x v="0"/>
    <n v="23.94285566708562"/>
    <s v="Normal"/>
    <s v="Dr. Arvind Wilson"/>
  </r>
  <r>
    <s v="PT-1350"/>
    <x v="320"/>
    <n v="39"/>
    <x v="1"/>
    <x v="14"/>
    <s v="B-"/>
    <x v="10"/>
    <n v="162.1"/>
    <n v="86"/>
    <s v="Yes"/>
    <s v="Unknown"/>
    <x v="3"/>
    <x v="216"/>
    <x v="216"/>
    <x v="216"/>
    <n v="0"/>
    <n v="107"/>
    <x v="1"/>
    <n v="32.728976294706925"/>
    <s v="Obese"/>
    <s v="Dr. Vikram Wang"/>
  </r>
  <r>
    <s v="PT-1351"/>
    <x v="321"/>
    <n v="81"/>
    <x v="0"/>
    <x v="15"/>
    <s v="Ab-"/>
    <x v="3"/>
    <n v="174"/>
    <n v="87"/>
    <s v="No"/>
    <s v="No"/>
    <x v="1"/>
    <x v="30"/>
    <x v="30"/>
    <x v="30"/>
    <n v="22988.32"/>
    <n v="38"/>
    <x v="2"/>
    <n v="28.735632183908045"/>
    <s v="Overweight"/>
    <s v="Dr. Arvind Wilson"/>
  </r>
  <r>
    <s v="PT-1352"/>
    <x v="322"/>
    <n v="28"/>
    <x v="1"/>
    <x v="1"/>
    <s v="O+"/>
    <x v="9"/>
    <n v="161"/>
    <n v="92.6"/>
    <s v="No"/>
    <s v="Unknown"/>
    <x v="7"/>
    <x v="302"/>
    <x v="302"/>
    <x v="302"/>
    <n v="48676.99"/>
    <n v="1"/>
    <x v="1"/>
    <n v="35.723930403919596"/>
    <s v="Obese"/>
    <s v="Dr. Meera Torres"/>
  </r>
  <r>
    <s v="PT-1353"/>
    <x v="323"/>
    <n v="68"/>
    <x v="1"/>
    <x v="3"/>
    <s v="Ab+"/>
    <x v="7"/>
    <n v="154.19999999999999"/>
    <n v="50.7"/>
    <s v="No"/>
    <s v="No"/>
    <x v="10"/>
    <x v="303"/>
    <x v="303"/>
    <x v="303"/>
    <n v="26377.49"/>
    <n v="83"/>
    <x v="2"/>
    <n v="21.322553457786395"/>
    <s v="Normal"/>
    <s v="Dr. Anita Sanchez"/>
  </r>
  <r>
    <s v="PT-1354"/>
    <x v="250"/>
    <n v="76"/>
    <x v="0"/>
    <x v="2"/>
    <s v="B+"/>
    <x v="8"/>
    <n v="158"/>
    <s v="Invalid"/>
    <s v="Yes"/>
    <s v="No"/>
    <x v="3"/>
    <x v="304"/>
    <x v="304"/>
    <x v="304"/>
    <n v="24318.23"/>
    <n v="107"/>
    <x v="2"/>
    <s v="Unknown"/>
    <s v="Unknown"/>
    <s v="Dr. Vikram Wang"/>
  </r>
  <r>
    <s v="PT-1355"/>
    <x v="305"/>
    <n v="17"/>
    <x v="0"/>
    <x v="3"/>
    <s v="Ab-"/>
    <x v="15"/>
    <n v="159"/>
    <n v="96.2"/>
    <s v="No"/>
    <s v="No"/>
    <x v="7"/>
    <x v="305"/>
    <x v="305"/>
    <x v="305"/>
    <n v="27279.23"/>
    <n v="35"/>
    <x v="0"/>
    <n v="38.052292235275502"/>
    <s v="Obese"/>
    <s v="Dr. Meera Torres"/>
  </r>
  <r>
    <s v="PT-1356"/>
    <x v="324"/>
    <n v="74"/>
    <x v="0"/>
    <x v="7"/>
    <s v="B+"/>
    <x v="12"/>
    <n v="185"/>
    <n v="96"/>
    <s v="Unknown"/>
    <s v="Yes"/>
    <x v="9"/>
    <x v="306"/>
    <x v="306"/>
    <x v="306"/>
    <n v="44894.78"/>
    <n v="11"/>
    <x v="2"/>
    <n v="28.049671292914532"/>
    <s v="Overweight"/>
    <s v="Dr. Vikram Khan"/>
  </r>
  <r>
    <s v="PT-1357"/>
    <x v="325"/>
    <n v="91"/>
    <x v="1"/>
    <x v="11"/>
    <s v="Ab-"/>
    <x v="16"/>
    <n v="174"/>
    <n v="84"/>
    <s v="No"/>
    <s v="Yes"/>
    <x v="3"/>
    <x v="307"/>
    <x v="307"/>
    <x v="307"/>
    <n v="43052.6"/>
    <n v="107"/>
    <x v="2"/>
    <n v="27.744748315497421"/>
    <s v="Overweight"/>
    <s v="Dr. Vikram Wang"/>
  </r>
  <r>
    <s v="PT-1358"/>
    <x v="326"/>
    <n v="33"/>
    <x v="0"/>
    <x v="1"/>
    <s v="O+"/>
    <x v="8"/>
    <n v="150.80000000000001"/>
    <n v="69"/>
    <s v="Unknown"/>
    <s v="Yes"/>
    <x v="10"/>
    <x v="23"/>
    <x v="23"/>
    <x v="23"/>
    <n v="16342.05"/>
    <n v="83"/>
    <x v="1"/>
    <n v="30.342153958727632"/>
    <s v="Obese"/>
    <s v="Dr. Anita Sanchez"/>
  </r>
  <r>
    <s v="PT-1359"/>
    <x v="327"/>
    <n v="76"/>
    <x v="1"/>
    <x v="13"/>
    <s v="Ab+"/>
    <x v="1"/>
    <n v="163.5"/>
    <s v="Invalid"/>
    <s v="No"/>
    <s v="Unknown"/>
    <x v="9"/>
    <x v="308"/>
    <x v="308"/>
    <x v="308"/>
    <n v="27926.73"/>
    <n v="35"/>
    <x v="2"/>
    <s v="Unknown"/>
    <s v="Unknown"/>
    <s v="Dr. Vikram Khan"/>
  </r>
  <r>
    <s v="PT-1360"/>
    <x v="258"/>
    <n v="11"/>
    <x v="1"/>
    <x v="9"/>
    <s v="Ab+"/>
    <x v="15"/>
    <n v="165"/>
    <n v="88.4"/>
    <s v="Yes"/>
    <s v="No"/>
    <x v="3"/>
    <x v="309"/>
    <x v="309"/>
    <x v="309"/>
    <n v="48075.16"/>
    <n v="1"/>
    <x v="0"/>
    <n v="32.470156106519745"/>
    <s v="Obese"/>
    <s v="Dr. Vikram Wang"/>
  </r>
  <r>
    <s v="PT-1361"/>
    <x v="328"/>
    <n v="88"/>
    <x v="0"/>
    <x v="2"/>
    <s v="Ab+"/>
    <x v="0"/>
    <n v="182"/>
    <n v="90.7"/>
    <s v="No"/>
    <s v="Yes"/>
    <x v="0"/>
    <x v="310"/>
    <x v="310"/>
    <x v="310"/>
    <n v="36391.15"/>
    <n v="42"/>
    <x v="2"/>
    <n v="27.38195870064002"/>
    <s v="Overweight"/>
    <s v="Dr. Sunita Sanchez"/>
  </r>
  <r>
    <s v="PT-1362"/>
    <x v="329"/>
    <n v="82"/>
    <x v="0"/>
    <x v="7"/>
    <s v="Ab-"/>
    <x v="2"/>
    <n v="193"/>
    <n v="126.3"/>
    <s v="Yes"/>
    <s v="Unknown"/>
    <x v="3"/>
    <x v="167"/>
    <x v="167"/>
    <x v="167"/>
    <n v="24088.18"/>
    <n v="107"/>
    <x v="2"/>
    <n v="33.906950522161672"/>
    <s v="Obese"/>
    <s v="Dr. Vikram Wang"/>
  </r>
  <r>
    <s v="PT-1363"/>
    <x v="113"/>
    <n v="84"/>
    <x v="0"/>
    <x v="1"/>
    <s v="A+"/>
    <x v="15"/>
    <n v="168.7"/>
    <n v="113.2"/>
    <s v="No"/>
    <s v="Yes"/>
    <x v="8"/>
    <x v="311"/>
    <x v="311"/>
    <x v="311"/>
    <n v="23403.279999999999"/>
    <n v="34"/>
    <x v="2"/>
    <n v="39.775556234098133"/>
    <s v="Obese"/>
    <s v="Dr. Vikram Torres"/>
  </r>
  <r>
    <s v="PT-1364"/>
    <x v="325"/>
    <n v="25"/>
    <x v="1"/>
    <x v="6"/>
    <s v="B+"/>
    <x v="15"/>
    <n v="194.1"/>
    <n v="43.3"/>
    <s v="Unknown"/>
    <s v="Unknown"/>
    <x v="6"/>
    <x v="312"/>
    <x v="312"/>
    <x v="312"/>
    <n v="10206.299999999999"/>
    <n v="30"/>
    <x v="3"/>
    <n v="11.493090476103266"/>
    <s v="Underweight"/>
    <s v="Dr. Sunita Zhang"/>
  </r>
  <r>
    <s v="PT-1365"/>
    <x v="330"/>
    <n v="85"/>
    <x v="1"/>
    <x v="11"/>
    <s v="O-"/>
    <x v="16"/>
    <n v="181.3"/>
    <n v="91"/>
    <s v="Yes"/>
    <s v="Unknown"/>
    <x v="4"/>
    <x v="313"/>
    <x v="313"/>
    <x v="313"/>
    <n v="0"/>
    <n v="45"/>
    <x v="2"/>
    <n v="27.685080084418193"/>
    <s v="Overweight"/>
    <s v="Dr. Rahul Nair"/>
  </r>
  <r>
    <s v="PT-1366"/>
    <x v="331"/>
    <n v="1"/>
    <x v="0"/>
    <x v="9"/>
    <s v="A-"/>
    <x v="4"/>
    <n v="163"/>
    <n v="101.2"/>
    <s v="No"/>
    <s v="No"/>
    <x v="1"/>
    <x v="314"/>
    <x v="314"/>
    <x v="314"/>
    <n v="11615.14"/>
    <n v="38"/>
    <x v="0"/>
    <n v="38.089502804019723"/>
    <s v="Obese"/>
    <s v="Dr. Arvind Wilson"/>
  </r>
  <r>
    <s v="PT-1367"/>
    <x v="332"/>
    <n v="74"/>
    <x v="0"/>
    <x v="9"/>
    <s v="Ab-"/>
    <x v="17"/>
    <n v="149"/>
    <n v="70"/>
    <s v="Unknown"/>
    <s v="Unknown"/>
    <x v="3"/>
    <x v="315"/>
    <x v="315"/>
    <x v="315"/>
    <n v="0"/>
    <n v="107"/>
    <x v="2"/>
    <n v="31.530111256249718"/>
    <s v="Obese"/>
    <s v="Dr. Vikram Wang"/>
  </r>
  <r>
    <s v="PT-1368"/>
    <x v="199"/>
    <n v="44"/>
    <x v="1"/>
    <x v="2"/>
    <s v="O+"/>
    <x v="5"/>
    <n v="192.1"/>
    <n v="96"/>
    <s v="No"/>
    <s v="Yes"/>
    <x v="7"/>
    <x v="316"/>
    <x v="316"/>
    <x v="316"/>
    <n v="16007.33"/>
    <n v="35"/>
    <x v="1"/>
    <n v="26.014561108610518"/>
    <s v="Overweight"/>
    <s v="Dr. Meera Torres"/>
  </r>
  <r>
    <s v="PT-1369"/>
    <x v="333"/>
    <n v="9"/>
    <x v="1"/>
    <x v="2"/>
    <s v="A-"/>
    <x v="12"/>
    <n v="163.19999999999999"/>
    <n v="95.6"/>
    <s v="No"/>
    <s v="No"/>
    <x v="4"/>
    <x v="190"/>
    <x v="190"/>
    <x v="190"/>
    <n v="19504.04"/>
    <n v="45"/>
    <x v="0"/>
    <n v="35.89364667435602"/>
    <s v="Obese"/>
    <s v="Dr. Rahul Nair"/>
  </r>
  <r>
    <s v="PT-1370"/>
    <x v="17"/>
    <n v="25"/>
    <x v="1"/>
    <x v="1"/>
    <s v="A+"/>
    <x v="11"/>
    <n v="173"/>
    <n v="51.3"/>
    <s v="No"/>
    <s v="Yes"/>
    <x v="5"/>
    <x v="317"/>
    <x v="317"/>
    <x v="317"/>
    <n v="12536.05"/>
    <n v="37"/>
    <x v="3"/>
    <n v="17.140566006214705"/>
    <s v="Underweight"/>
    <s v="Dr. Arvind Chen"/>
  </r>
  <r>
    <s v="PT-1371"/>
    <x v="334"/>
    <n v="40"/>
    <x v="2"/>
    <x v="15"/>
    <s v="O+"/>
    <x v="18"/>
    <n v="184.6"/>
    <n v="41"/>
    <s v="Yes"/>
    <s v="No"/>
    <x v="1"/>
    <x v="150"/>
    <x v="150"/>
    <x v="150"/>
    <n v="17518.900000000001"/>
    <n v="38"/>
    <x v="1"/>
    <n v="12.031519058513094"/>
    <s v="Underweight"/>
    <s v="Dr. Arvind Wilson"/>
  </r>
  <r>
    <s v="PT-1372"/>
    <x v="335"/>
    <n v="89"/>
    <x v="1"/>
    <x v="6"/>
    <s v="O+"/>
    <x v="4"/>
    <n v="177"/>
    <n v="54.6"/>
    <s v="Yes"/>
    <s v="No"/>
    <x v="9"/>
    <x v="318"/>
    <x v="318"/>
    <x v="318"/>
    <n v="11539.74"/>
    <n v="35"/>
    <x v="2"/>
    <n v="17.427942162213924"/>
    <s v="Underweight"/>
    <s v="Dr. Vikram Khan"/>
  </r>
  <r>
    <s v="PT-1373"/>
    <x v="336"/>
    <n v="52"/>
    <x v="0"/>
    <x v="9"/>
    <s v="O+"/>
    <x v="4"/>
    <n v="184"/>
    <n v="52.8"/>
    <s v="No"/>
    <s v="Unknown"/>
    <x v="6"/>
    <x v="131"/>
    <x v="131"/>
    <x v="131"/>
    <n v="48777.81"/>
    <n v="1"/>
    <x v="1"/>
    <n v="15.595463137996218"/>
    <s v="Underweight"/>
    <s v="Dr. Sunita Zhang"/>
  </r>
  <r>
    <s v="PT-1374"/>
    <x v="255"/>
    <n v="23"/>
    <x v="1"/>
    <x v="9"/>
    <s v="O-"/>
    <x v="15"/>
    <n v="147"/>
    <n v="111"/>
    <s v="No"/>
    <s v="No"/>
    <x v="10"/>
    <x v="157"/>
    <x v="157"/>
    <x v="157"/>
    <n v="18797.21"/>
    <n v="83"/>
    <x v="3"/>
    <n v="51.367485769818138"/>
    <s v="Obese"/>
    <s v="Dr. Anita Sanchez"/>
  </r>
  <r>
    <s v="PT-1375"/>
    <x v="337"/>
    <n v="19"/>
    <x v="0"/>
    <x v="0"/>
    <s v="Ab+"/>
    <x v="12"/>
    <s v="Invalid"/>
    <n v="62"/>
    <s v="Unknown"/>
    <s v="No"/>
    <x v="9"/>
    <x v="319"/>
    <x v="319"/>
    <x v="319"/>
    <n v="16720.189999999999"/>
    <n v="35"/>
    <x v="3"/>
    <s v="Unknown"/>
    <s v="Unknown"/>
    <s v="Dr. Vikram Khan"/>
  </r>
  <r>
    <s v="PT-1376"/>
    <x v="338"/>
    <n v="11"/>
    <x v="0"/>
    <x v="13"/>
    <s v="B+"/>
    <x v="14"/>
    <n v="182.6"/>
    <n v="81.8"/>
    <s v="Unknown"/>
    <s v="No"/>
    <x v="1"/>
    <x v="172"/>
    <x v="172"/>
    <x v="172"/>
    <n v="47809.72"/>
    <n v="1"/>
    <x v="0"/>
    <n v="24.533062050052248"/>
    <s v="Normal"/>
    <s v="Dr. Arvind Wilson"/>
  </r>
  <r>
    <s v="PT-1377"/>
    <x v="339"/>
    <n v="58"/>
    <x v="1"/>
    <x v="7"/>
    <s v="Ab+"/>
    <x v="19"/>
    <n v="159"/>
    <n v="74"/>
    <s v="Yes"/>
    <s v="No"/>
    <x v="10"/>
    <x v="317"/>
    <x v="317"/>
    <x v="317"/>
    <n v="17902.96"/>
    <n v="83"/>
    <x v="1"/>
    <n v="29.270994027135"/>
    <s v="Overweight"/>
    <s v="Dr. Anita Sanchez"/>
  </r>
  <r>
    <s v="PT-1378"/>
    <x v="340"/>
    <n v="64"/>
    <x v="1"/>
    <x v="5"/>
    <s v="Ab+"/>
    <x v="4"/>
    <n v="150"/>
    <n v="47"/>
    <s v="Yes"/>
    <s v="No"/>
    <x v="3"/>
    <x v="320"/>
    <x v="320"/>
    <x v="320"/>
    <n v="18331.73"/>
    <n v="107"/>
    <x v="2"/>
    <n v="20.888888888888889"/>
    <s v="Normal"/>
    <s v="Dr. Vikram Wang"/>
  </r>
  <r>
    <s v="PT-1379"/>
    <x v="341"/>
    <n v="36"/>
    <x v="1"/>
    <x v="3"/>
    <s v="O+"/>
    <x v="4"/>
    <n v="154.1"/>
    <s v="Invalid"/>
    <s v="Yes"/>
    <s v="Yes"/>
    <x v="8"/>
    <x v="321"/>
    <x v="321"/>
    <x v="321"/>
    <n v="47317.84"/>
    <n v="1"/>
    <x v="1"/>
    <s v="Unknown"/>
    <s v="Unknown"/>
    <s v="Dr. Vikram Torres"/>
  </r>
  <r>
    <s v="PT-1381"/>
    <x v="342"/>
    <s v="Invalid"/>
    <x v="0"/>
    <x v="2"/>
    <s v="O+"/>
    <x v="3"/>
    <n v="166.1"/>
    <n v="102.1"/>
    <s v="No"/>
    <s v="No"/>
    <x v="3"/>
    <x v="213"/>
    <x v="213"/>
    <x v="213"/>
    <n v="8107.72"/>
    <n v="107"/>
    <x v="4"/>
    <n v="37.007221301371075"/>
    <s v="Obese"/>
    <s v="Dr. Vikram Wang"/>
  </r>
  <r>
    <s v="PT-1382"/>
    <x v="343"/>
    <n v="49"/>
    <x v="1"/>
    <x v="1"/>
    <s v="B+"/>
    <x v="12"/>
    <n v="192"/>
    <n v="80.599999999999994"/>
    <s v="No"/>
    <s v="Yes"/>
    <x v="3"/>
    <x v="322"/>
    <x v="322"/>
    <x v="322"/>
    <n v="41410.5"/>
    <n v="107"/>
    <x v="1"/>
    <n v="21.864149305555554"/>
    <s v="Normal"/>
    <s v="Dr. Vikram Wang"/>
  </r>
  <r>
    <s v="PT-1383"/>
    <x v="344"/>
    <n v="68"/>
    <x v="1"/>
    <x v="10"/>
    <s v="A-"/>
    <x v="3"/>
    <n v="184.3"/>
    <n v="129"/>
    <s v="Yes"/>
    <s v="Yes"/>
    <x v="5"/>
    <x v="12"/>
    <x v="12"/>
    <x v="12"/>
    <n v="47777.29"/>
    <n v="1"/>
    <x v="2"/>
    <n v="37.978607739569192"/>
    <s v="Obese"/>
    <s v="Dr. Arvind Chen"/>
  </r>
  <r>
    <s v="PT-1384"/>
    <x v="345"/>
    <n v="40"/>
    <x v="2"/>
    <x v="0"/>
    <s v="Ab-"/>
    <x v="2"/>
    <n v="165.5"/>
    <s v="Invalid"/>
    <s v="Unknown"/>
    <s v="No"/>
    <x v="1"/>
    <x v="323"/>
    <x v="323"/>
    <x v="323"/>
    <n v="44022.35"/>
    <n v="38"/>
    <x v="1"/>
    <s v="Unknown"/>
    <s v="Unknown"/>
    <s v="Dr. Arvind Wilson"/>
  </r>
  <r>
    <s v="PT-1385"/>
    <x v="346"/>
    <n v="39"/>
    <x v="0"/>
    <x v="6"/>
    <s v="O-"/>
    <x v="7"/>
    <n v="169"/>
    <n v="122"/>
    <s v="Unknown"/>
    <s v="No"/>
    <x v="3"/>
    <x v="324"/>
    <x v="324"/>
    <x v="324"/>
    <n v="47311.519999999997"/>
    <n v="1"/>
    <x v="1"/>
    <n v="42.715591190784643"/>
    <s v="Obese"/>
    <s v="Dr. Vikram Wang"/>
  </r>
  <r>
    <s v="PT-1386"/>
    <x v="347"/>
    <n v="90"/>
    <x v="1"/>
    <x v="0"/>
    <s v="Ab+"/>
    <x v="5"/>
    <n v="155"/>
    <n v="47"/>
    <s v="Yes"/>
    <s v="No"/>
    <x v="11"/>
    <x v="325"/>
    <x v="325"/>
    <x v="325"/>
    <n v="13011.95"/>
    <n v="31"/>
    <x v="2"/>
    <n v="19.562955254942764"/>
    <s v="Normal"/>
    <s v="Dr. Suresh Johnson"/>
  </r>
  <r>
    <s v="PT-1387"/>
    <x v="348"/>
    <n v="25"/>
    <x v="0"/>
    <x v="2"/>
    <s v="A+"/>
    <x v="2"/>
    <n v="176.9"/>
    <n v="81.8"/>
    <s v="No"/>
    <s v="No"/>
    <x v="1"/>
    <x v="326"/>
    <x v="326"/>
    <x v="326"/>
    <n v="47525.91"/>
    <n v="1"/>
    <x v="3"/>
    <n v="26.139521774573144"/>
    <s v="Overweight"/>
    <s v="Dr. Arvind Wilson"/>
  </r>
  <r>
    <s v="PT-1388"/>
    <x v="349"/>
    <n v="16"/>
    <x v="2"/>
    <x v="0"/>
    <s v="Ab+"/>
    <x v="14"/>
    <n v="168"/>
    <n v="53.8"/>
    <s v="Yes"/>
    <s v="No"/>
    <x v="0"/>
    <x v="327"/>
    <x v="327"/>
    <x v="327"/>
    <n v="26848.79"/>
    <n v="42"/>
    <x v="0"/>
    <n v="19.061791383219955"/>
    <s v="Normal"/>
    <s v="Dr. Sunita Sanchez"/>
  </r>
  <r>
    <s v="PT-1389"/>
    <x v="50"/>
    <n v="7"/>
    <x v="2"/>
    <x v="9"/>
    <s v="A-"/>
    <x v="15"/>
    <n v="181"/>
    <n v="61"/>
    <s v="Yes"/>
    <s v="Yes"/>
    <x v="3"/>
    <x v="328"/>
    <x v="328"/>
    <x v="328"/>
    <n v="41116.06"/>
    <n v="107"/>
    <x v="0"/>
    <n v="18.619700253350018"/>
    <s v="Normal"/>
    <s v="Dr. Vikram Wang"/>
  </r>
  <r>
    <s v="PT-1390"/>
    <x v="350"/>
    <s v="Invalid"/>
    <x v="1"/>
    <x v="9"/>
    <s v="O+"/>
    <x v="12"/>
    <n v="187"/>
    <n v="51"/>
    <s v="No"/>
    <s v="No"/>
    <x v="10"/>
    <x v="329"/>
    <x v="329"/>
    <x v="329"/>
    <n v="20405.900000000001"/>
    <n v="83"/>
    <x v="4"/>
    <n v="14.584346135148271"/>
    <s v="Underweight"/>
    <s v="Dr. Anita Sanchez"/>
  </r>
  <r>
    <s v="PT-1391"/>
    <x v="351"/>
    <n v="9"/>
    <x v="1"/>
    <x v="14"/>
    <s v="B+"/>
    <x v="15"/>
    <n v="183.1"/>
    <n v="111"/>
    <s v="Yes"/>
    <s v="No"/>
    <x v="6"/>
    <x v="330"/>
    <x v="330"/>
    <x v="330"/>
    <n v="34967.61"/>
    <n v="30"/>
    <x v="0"/>
    <n v="33.109017255763582"/>
    <s v="Obese"/>
    <s v="Dr. Sunita Zhang"/>
  </r>
  <r>
    <s v="PT-1392"/>
    <x v="352"/>
    <n v="41"/>
    <x v="1"/>
    <x v="2"/>
    <s v="Unknown"/>
    <x v="16"/>
    <n v="162.19999999999999"/>
    <n v="98"/>
    <s v="Yes"/>
    <s v="No"/>
    <x v="0"/>
    <x v="331"/>
    <x v="331"/>
    <x v="331"/>
    <n v="1550.06"/>
    <n v="42"/>
    <x v="1"/>
    <n v="37.249836936938316"/>
    <s v="Obese"/>
    <s v="Dr. Sunita Sanchez"/>
  </r>
  <r>
    <s v="PT-1393"/>
    <x v="353"/>
    <n v="48"/>
    <x v="1"/>
    <x v="8"/>
    <s v="Ab+"/>
    <x v="18"/>
    <n v="192.5"/>
    <n v="93.8"/>
    <s v="Unknown"/>
    <s v="No"/>
    <x v="3"/>
    <x v="332"/>
    <x v="332"/>
    <x v="332"/>
    <n v="32358.3"/>
    <n v="107"/>
    <x v="1"/>
    <n v="25.31286894923258"/>
    <s v="Overweight"/>
    <s v="Dr. Vikram Wang"/>
  </r>
  <r>
    <s v="PT-1394"/>
    <x v="274"/>
    <n v="94"/>
    <x v="1"/>
    <x v="9"/>
    <s v="Ab-"/>
    <x v="19"/>
    <n v="156"/>
    <n v="103"/>
    <s v="Unknown"/>
    <s v="Yes"/>
    <x v="1"/>
    <x v="333"/>
    <x v="333"/>
    <x v="333"/>
    <n v="0"/>
    <n v="38"/>
    <x v="2"/>
    <n v="42.324128862590399"/>
    <s v="Obese"/>
    <s v="Dr. Arvind Wilson"/>
  </r>
  <r>
    <s v="PT-1395"/>
    <x v="354"/>
    <n v="27"/>
    <x v="0"/>
    <x v="1"/>
    <s v="O-"/>
    <x v="0"/>
    <n v="166.3"/>
    <n v="47"/>
    <s v="Yes"/>
    <s v="Yes"/>
    <x v="0"/>
    <x v="334"/>
    <x v="334"/>
    <x v="334"/>
    <n v="21488.83"/>
    <n v="42"/>
    <x v="1"/>
    <n v="16.994694401043692"/>
    <s v="Underweight"/>
    <s v="Dr. Sunita Sanchez"/>
  </r>
  <r>
    <s v="PT-1396"/>
    <x v="355"/>
    <n v="11"/>
    <x v="1"/>
    <x v="1"/>
    <s v="Ab+"/>
    <x v="14"/>
    <n v="184"/>
    <n v="113.8"/>
    <s v="Yes"/>
    <s v="Yes"/>
    <x v="11"/>
    <x v="335"/>
    <x v="335"/>
    <x v="335"/>
    <n v="29961.58"/>
    <n v="31"/>
    <x v="0"/>
    <n v="33.612948960302454"/>
    <s v="Obese"/>
    <s v="Dr. Suresh Johnson"/>
  </r>
  <r>
    <s v="PT-1397"/>
    <x v="356"/>
    <n v="78"/>
    <x v="1"/>
    <x v="1"/>
    <s v="O+"/>
    <x v="18"/>
    <n v="146"/>
    <s v="Invalid"/>
    <s v="Yes"/>
    <s v="Unknown"/>
    <x v="0"/>
    <x v="336"/>
    <x v="336"/>
    <x v="336"/>
    <n v="20525.490000000002"/>
    <n v="42"/>
    <x v="2"/>
    <s v="Unknown"/>
    <s v="Unknown"/>
    <s v="Dr. Sunita Sanchez"/>
  </r>
  <r>
    <s v="PT-1398"/>
    <x v="357"/>
    <n v="10"/>
    <x v="0"/>
    <x v="2"/>
    <s v="B-"/>
    <x v="3"/>
    <n v="157"/>
    <n v="109.4"/>
    <s v="Yes"/>
    <s v="Unknown"/>
    <x v="5"/>
    <x v="337"/>
    <x v="337"/>
    <x v="337"/>
    <n v="3356.38"/>
    <n v="37"/>
    <x v="0"/>
    <n v="44.383139275426998"/>
    <s v="Obese"/>
    <s v="Dr. Arvind Chen"/>
  </r>
  <r>
    <s v="PT-1399"/>
    <x v="358"/>
    <n v="91"/>
    <x v="0"/>
    <x v="9"/>
    <s v="O+"/>
    <x v="2"/>
    <n v="175.4"/>
    <n v="94"/>
    <s v="Yes"/>
    <s v="No"/>
    <x v="4"/>
    <x v="338"/>
    <x v="338"/>
    <x v="338"/>
    <n v="35724.67"/>
    <n v="45"/>
    <x v="2"/>
    <n v="30.554042299796265"/>
    <s v="Obese"/>
    <s v="Dr. Rahul Nair"/>
  </r>
  <r>
    <s v="PT-1400"/>
    <x v="359"/>
    <n v="22"/>
    <x v="1"/>
    <x v="14"/>
    <s v="A+"/>
    <x v="17"/>
    <n v="166"/>
    <n v="106"/>
    <s v="No"/>
    <s v="Unknown"/>
    <x v="6"/>
    <x v="339"/>
    <x v="339"/>
    <x v="339"/>
    <n v="13816.56"/>
    <n v="30"/>
    <x v="3"/>
    <n v="38.467121498040356"/>
    <s v="Obese"/>
    <s v="Dr. Sunita Zhang"/>
  </r>
  <r>
    <s v="PT-1401"/>
    <x v="360"/>
    <s v="Invalid"/>
    <x v="1"/>
    <x v="7"/>
    <s v="Unknown"/>
    <x v="5"/>
    <n v="180"/>
    <n v="74"/>
    <s v="No"/>
    <s v="No"/>
    <x v="3"/>
    <x v="340"/>
    <x v="340"/>
    <x v="340"/>
    <n v="22807.71"/>
    <n v="107"/>
    <x v="4"/>
    <n v="22.839506172839506"/>
    <s v="Normal"/>
    <s v="Dr. Vikram Wang"/>
  </r>
  <r>
    <s v="PT-1402"/>
    <x v="361"/>
    <n v="53"/>
    <x v="1"/>
    <x v="9"/>
    <s v="B-"/>
    <x v="4"/>
    <n v="148.9"/>
    <n v="64.900000000000006"/>
    <s v="Yes"/>
    <s v="No"/>
    <x v="9"/>
    <x v="341"/>
    <x v="341"/>
    <x v="341"/>
    <n v="33803.83"/>
    <n v="35"/>
    <x v="1"/>
    <n v="29.27219578904354"/>
    <s v="Overweight"/>
    <s v="Dr. Vikram Khan"/>
  </r>
  <r>
    <s v="PT-1403"/>
    <x v="362"/>
    <s v="Invalid"/>
    <x v="2"/>
    <x v="9"/>
    <s v="Ab+"/>
    <x v="11"/>
    <n v="152"/>
    <n v="82.6"/>
    <s v="Unknown"/>
    <s v="Yes"/>
    <x v="10"/>
    <x v="342"/>
    <x v="342"/>
    <x v="342"/>
    <n v="44562.53"/>
    <n v="60"/>
    <x v="4"/>
    <n v="35.751385041551245"/>
    <s v="Obese"/>
    <s v="Dr. Anita Sanchez"/>
  </r>
  <r>
    <s v="PT-1404"/>
    <x v="143"/>
    <n v="46"/>
    <x v="1"/>
    <x v="9"/>
    <s v="B-"/>
    <x v="4"/>
    <n v="159"/>
    <s v="Invalid"/>
    <s v="No"/>
    <s v="Yes"/>
    <x v="10"/>
    <x v="163"/>
    <x v="163"/>
    <x v="163"/>
    <n v="22869.94"/>
    <n v="83"/>
    <x v="1"/>
    <s v="Unknown"/>
    <s v="Unknown"/>
    <s v="Dr. Anita Sanchez"/>
  </r>
  <r>
    <s v="PT-1405"/>
    <x v="363"/>
    <n v="42"/>
    <x v="0"/>
    <x v="9"/>
    <s v="O+"/>
    <x v="4"/>
    <n v="188"/>
    <n v="69.3"/>
    <s v="No"/>
    <s v="No"/>
    <x v="5"/>
    <x v="343"/>
    <x v="343"/>
    <x v="343"/>
    <n v="30823.32"/>
    <n v="37"/>
    <x v="1"/>
    <n v="19.60728836577637"/>
    <s v="Normal"/>
    <s v="Dr. Arvind Chen"/>
  </r>
  <r>
    <s v="PT-1406"/>
    <x v="364"/>
    <n v="25"/>
    <x v="1"/>
    <x v="3"/>
    <s v="A-"/>
    <x v="18"/>
    <n v="193.1"/>
    <n v="80"/>
    <s v="No"/>
    <s v="Unknown"/>
    <x v="1"/>
    <x v="344"/>
    <x v="344"/>
    <x v="344"/>
    <n v="10976.22"/>
    <n v="38"/>
    <x v="3"/>
    <n v="21.454847870378391"/>
    <s v="Normal"/>
    <s v="Dr. Arvind Wilson"/>
  </r>
  <r>
    <s v="PT-1407"/>
    <x v="365"/>
    <n v="50"/>
    <x v="0"/>
    <x v="5"/>
    <s v="Ab-"/>
    <x v="10"/>
    <n v="178.9"/>
    <n v="123"/>
    <s v="No"/>
    <s v="Unknown"/>
    <x v="10"/>
    <x v="345"/>
    <x v="345"/>
    <x v="345"/>
    <n v="38433.699999999997"/>
    <n v="83"/>
    <x v="1"/>
    <n v="38.431242913263176"/>
    <s v="Obese"/>
    <s v="Dr. Anita Sanchez"/>
  </r>
  <r>
    <s v="PT-1408"/>
    <x v="366"/>
    <n v="56"/>
    <x v="0"/>
    <x v="7"/>
    <s v="Ab-"/>
    <x v="2"/>
    <n v="157.19999999999999"/>
    <n v="93"/>
    <s v="Unknown"/>
    <s v="No"/>
    <x v="6"/>
    <x v="346"/>
    <x v="346"/>
    <x v="346"/>
    <n v="42739.85"/>
    <n v="30"/>
    <x v="1"/>
    <n v="37.633782025134515"/>
    <s v="Obese"/>
    <s v="Dr. Sunita Zhang"/>
  </r>
  <r>
    <s v="PT-1410"/>
    <x v="262"/>
    <n v="89"/>
    <x v="1"/>
    <x v="5"/>
    <s v="Unknown"/>
    <x v="13"/>
    <n v="167"/>
    <s v="Invalid"/>
    <s v="Yes"/>
    <s v="Unknown"/>
    <x v="9"/>
    <x v="347"/>
    <x v="347"/>
    <x v="347"/>
    <n v="36918.42"/>
    <n v="35"/>
    <x v="2"/>
    <s v="Unknown"/>
    <s v="Unknown"/>
    <s v="Dr. Vikram Khan"/>
  </r>
  <r>
    <s v="PT-1411"/>
    <x v="367"/>
    <n v="21"/>
    <x v="0"/>
    <x v="15"/>
    <s v="Ab+"/>
    <x v="3"/>
    <n v="181.1"/>
    <n v="75.2"/>
    <s v="Yes"/>
    <s v="Unknown"/>
    <x v="7"/>
    <x v="185"/>
    <x v="185"/>
    <x v="185"/>
    <n v="42884.480000000003"/>
    <n v="35"/>
    <x v="3"/>
    <n v="22.928779612656079"/>
    <s v="Normal"/>
    <s v="Dr. Meera Torres"/>
  </r>
  <r>
    <s v="PT-1412"/>
    <x v="368"/>
    <n v="59"/>
    <x v="0"/>
    <x v="4"/>
    <s v="O+"/>
    <x v="7"/>
    <n v="185"/>
    <n v="112"/>
    <s v="Unknown"/>
    <s v="Unknown"/>
    <x v="3"/>
    <x v="348"/>
    <x v="348"/>
    <x v="348"/>
    <n v="42878.99"/>
    <n v="107"/>
    <x v="1"/>
    <n v="32.724616508400288"/>
    <s v="Obese"/>
    <s v="Dr. Vikram Wang"/>
  </r>
  <r>
    <s v="PT-1413"/>
    <x v="369"/>
    <n v="8"/>
    <x v="1"/>
    <x v="2"/>
    <s v="Unknown"/>
    <x v="14"/>
    <n v="150.9"/>
    <n v="127.3"/>
    <s v="No"/>
    <s v="Yes"/>
    <x v="3"/>
    <x v="141"/>
    <x v="141"/>
    <x v="141"/>
    <n v="24686.98"/>
    <n v="107"/>
    <x v="0"/>
    <n v="55.90490632524709"/>
    <s v="Obese"/>
    <s v="Dr. Vikram Wang"/>
  </r>
  <r>
    <s v="PT-1414"/>
    <x v="370"/>
    <n v="84"/>
    <x v="0"/>
    <x v="5"/>
    <s v="Ab-"/>
    <x v="3"/>
    <n v="165"/>
    <n v="51"/>
    <s v="Yes"/>
    <s v="No"/>
    <x v="6"/>
    <x v="140"/>
    <x v="140"/>
    <x v="140"/>
    <n v="34839.43"/>
    <n v="30"/>
    <x v="2"/>
    <n v="18.732782369146008"/>
    <s v="Normal"/>
    <s v="Dr. Sunita Zhang"/>
  </r>
  <r>
    <s v="PT-1415"/>
    <x v="371"/>
    <n v="42"/>
    <x v="1"/>
    <x v="3"/>
    <s v="O-"/>
    <x v="3"/>
    <n v="193"/>
    <s v="Invalid"/>
    <s v="Yes"/>
    <s v="Unknown"/>
    <x v="8"/>
    <x v="349"/>
    <x v="349"/>
    <x v="349"/>
    <n v="48301.21"/>
    <n v="1"/>
    <x v="1"/>
    <s v="Unknown"/>
    <s v="Unknown"/>
    <s v="Dr. Vikram Torres"/>
  </r>
  <r>
    <s v="PT-1416"/>
    <x v="372"/>
    <n v="16"/>
    <x v="0"/>
    <x v="3"/>
    <s v="Ab+"/>
    <x v="13"/>
    <n v="179"/>
    <n v="51.2"/>
    <s v="No"/>
    <s v="Yes"/>
    <x v="3"/>
    <x v="276"/>
    <x v="276"/>
    <x v="276"/>
    <n v="504.24"/>
    <n v="107"/>
    <x v="0"/>
    <n v="15.979526232015232"/>
    <s v="Underweight"/>
    <s v="Dr. Vikram Wang"/>
  </r>
  <r>
    <s v="PT-1417"/>
    <x v="85"/>
    <n v="89"/>
    <x v="1"/>
    <x v="12"/>
    <s v="O+"/>
    <x v="11"/>
    <s v="Invalid"/>
    <n v="44"/>
    <s v="No"/>
    <s v="Yes"/>
    <x v="10"/>
    <x v="350"/>
    <x v="350"/>
    <x v="350"/>
    <n v="30306.15"/>
    <n v="83"/>
    <x v="2"/>
    <s v="Unknown"/>
    <s v="Unknown"/>
    <s v="Dr. Anita Sanchez"/>
  </r>
  <r>
    <s v="PT-1418"/>
    <x v="337"/>
    <n v="49"/>
    <x v="0"/>
    <x v="4"/>
    <s v="Ab+"/>
    <x v="7"/>
    <n v="185"/>
    <n v="125"/>
    <s v="Yes"/>
    <s v="No"/>
    <x v="3"/>
    <x v="351"/>
    <x v="351"/>
    <x v="351"/>
    <n v="34991.75"/>
    <n v="107"/>
    <x v="1"/>
    <n v="36.523009495982464"/>
    <s v="Obese"/>
    <s v="Dr. Vikram Wang"/>
  </r>
  <r>
    <s v="PT-1419"/>
    <x v="373"/>
    <n v="41"/>
    <x v="0"/>
    <x v="14"/>
    <s v="Ab+"/>
    <x v="4"/>
    <s v="Invalid"/>
    <n v="49.9"/>
    <s v="No"/>
    <s v="No"/>
    <x v="2"/>
    <x v="352"/>
    <x v="352"/>
    <x v="352"/>
    <n v="45507.65"/>
    <n v="1"/>
    <x v="1"/>
    <s v="Unknown"/>
    <s v="Unknown"/>
    <s v="Dr. Neha Liu"/>
  </r>
  <r>
    <s v="PT-1420"/>
    <x v="374"/>
    <n v="29"/>
    <x v="0"/>
    <x v="1"/>
    <s v="B-"/>
    <x v="14"/>
    <n v="188.8"/>
    <n v="71.400000000000006"/>
    <s v="Yes"/>
    <s v="Yes"/>
    <x v="6"/>
    <x v="353"/>
    <x v="353"/>
    <x v="353"/>
    <n v="8952"/>
    <n v="30"/>
    <x v="1"/>
    <n v="20.030612611318585"/>
    <s v="Normal"/>
    <s v="Dr. Sunita Zhang"/>
  </r>
  <r>
    <s v="PT-1421"/>
    <x v="178"/>
    <n v="52"/>
    <x v="1"/>
    <x v="11"/>
    <s v="O+"/>
    <x v="2"/>
    <n v="188"/>
    <n v="54"/>
    <s v="Yes"/>
    <s v="Yes"/>
    <x v="6"/>
    <x v="199"/>
    <x v="199"/>
    <x v="199"/>
    <n v="45962.86"/>
    <n v="1"/>
    <x v="1"/>
    <n v="15.278406518786783"/>
    <s v="Underweight"/>
    <s v="Dr. Sunita Zhang"/>
  </r>
  <r>
    <s v="PT-1422"/>
    <x v="240"/>
    <n v="57"/>
    <x v="1"/>
    <x v="10"/>
    <s v="B+"/>
    <x v="2"/>
    <n v="193"/>
    <n v="117.2"/>
    <s v="No"/>
    <s v="No"/>
    <x v="8"/>
    <x v="277"/>
    <x v="277"/>
    <x v="277"/>
    <n v="4434.01"/>
    <n v="34"/>
    <x v="1"/>
    <n v="31.463931917635374"/>
    <s v="Obese"/>
    <s v="Dr. Vikram Torres"/>
  </r>
  <r>
    <s v="PT-1423"/>
    <x v="375"/>
    <n v="64"/>
    <x v="0"/>
    <x v="9"/>
    <s v="Unknown"/>
    <x v="9"/>
    <n v="190"/>
    <n v="102"/>
    <s v="No"/>
    <s v="Yes"/>
    <x v="6"/>
    <x v="101"/>
    <x v="101"/>
    <x v="101"/>
    <n v="860.87"/>
    <n v="30"/>
    <x v="2"/>
    <n v="28.254847645429365"/>
    <s v="Overweight"/>
    <s v="Dr. Sunita Zhang"/>
  </r>
  <r>
    <s v="PT-1424"/>
    <x v="376"/>
    <s v="Invalid"/>
    <x v="0"/>
    <x v="2"/>
    <s v="Ab-"/>
    <x v="14"/>
    <n v="164"/>
    <n v="125.7"/>
    <s v="No"/>
    <s v="Yes"/>
    <x v="3"/>
    <x v="181"/>
    <x v="181"/>
    <x v="181"/>
    <n v="17228.95"/>
    <n v="107"/>
    <x v="4"/>
    <n v="46.735574063057712"/>
    <s v="Obese"/>
    <s v="Dr. Vikram Wang"/>
  </r>
  <r>
    <s v="PT-1425"/>
    <x v="377"/>
    <n v="28"/>
    <x v="0"/>
    <x v="0"/>
    <s v="Ab+"/>
    <x v="19"/>
    <n v="194.2"/>
    <n v="120.3"/>
    <s v="Yes"/>
    <s v="No"/>
    <x v="3"/>
    <x v="354"/>
    <x v="354"/>
    <x v="354"/>
    <n v="15268.36"/>
    <n v="107"/>
    <x v="1"/>
    <n v="31.898273409832626"/>
    <s v="Obese"/>
    <s v="Dr. Vikram Wang"/>
  </r>
  <r>
    <s v="PT-1426"/>
    <x v="378"/>
    <n v="35"/>
    <x v="0"/>
    <x v="9"/>
    <s v="A+"/>
    <x v="15"/>
    <n v="159.4"/>
    <n v="114"/>
    <s v="No"/>
    <s v="Yes"/>
    <x v="5"/>
    <x v="355"/>
    <x v="355"/>
    <x v="355"/>
    <n v="15715.56"/>
    <n v="37"/>
    <x v="1"/>
    <n v="44.867122474650074"/>
    <s v="Obese"/>
    <s v="Dr. Arvind Chen"/>
  </r>
  <r>
    <s v="PT-1426"/>
    <x v="379"/>
    <n v="26"/>
    <x v="1"/>
    <x v="12"/>
    <s v="O+"/>
    <x v="7"/>
    <n v="173.7"/>
    <n v="62.5"/>
    <s v="No"/>
    <s v="No"/>
    <x v="10"/>
    <x v="182"/>
    <x v="182"/>
    <x v="182"/>
    <n v="44663.57"/>
    <n v="52"/>
    <x v="1"/>
    <n v="20.714782632328522"/>
    <s v="Normal"/>
    <s v="Dr. Anita Sanchez"/>
  </r>
  <r>
    <s v="PT-1427"/>
    <x v="380"/>
    <n v="56"/>
    <x v="0"/>
    <x v="2"/>
    <s v="Ab+"/>
    <x v="1"/>
    <n v="147"/>
    <n v="70"/>
    <s v="Yes"/>
    <s v="Unknown"/>
    <x v="9"/>
    <x v="356"/>
    <x v="356"/>
    <x v="356"/>
    <n v="49154.97"/>
    <n v="1"/>
    <x v="1"/>
    <n v="32.393909944930357"/>
    <s v="Obese"/>
    <s v="Dr. Vikram Khan"/>
  </r>
  <r>
    <s v="PT-1428"/>
    <x v="381"/>
    <n v="52"/>
    <x v="2"/>
    <x v="0"/>
    <s v="Ab+"/>
    <x v="18"/>
    <n v="148"/>
    <n v="71"/>
    <s v="Unknown"/>
    <s v="No"/>
    <x v="3"/>
    <x v="357"/>
    <x v="357"/>
    <x v="357"/>
    <n v="48833.71"/>
    <n v="1"/>
    <x v="1"/>
    <n v="32.414170927684445"/>
    <s v="Obese"/>
    <s v="Dr. Vikram Wang"/>
  </r>
  <r>
    <s v="PT-1429"/>
    <x v="382"/>
    <n v="20"/>
    <x v="1"/>
    <x v="12"/>
    <s v="O-"/>
    <x v="6"/>
    <n v="191"/>
    <n v="62.3"/>
    <s v="No"/>
    <s v="No"/>
    <x v="0"/>
    <x v="358"/>
    <x v="358"/>
    <x v="358"/>
    <n v="36657.61"/>
    <n v="42"/>
    <x v="3"/>
    <n v="17.077382747183464"/>
    <s v="Underweight"/>
    <s v="Dr. Sunita Sanchez"/>
  </r>
  <r>
    <s v="PT-1430"/>
    <x v="383"/>
    <n v="5"/>
    <x v="0"/>
    <x v="0"/>
    <s v="O+"/>
    <x v="7"/>
    <n v="174.4"/>
    <n v="117.8"/>
    <s v="No"/>
    <s v="Yes"/>
    <x v="10"/>
    <x v="359"/>
    <x v="359"/>
    <x v="359"/>
    <n v="17140.8"/>
    <n v="83"/>
    <x v="0"/>
    <n v="38.730430940156552"/>
    <s v="Obese"/>
    <s v="Dr. Anita Sanchez"/>
  </r>
  <r>
    <s v="PT-1431"/>
    <x v="384"/>
    <n v="45"/>
    <x v="1"/>
    <x v="14"/>
    <s v="Ab-"/>
    <x v="3"/>
    <n v="191.1"/>
    <s v="Invalid"/>
    <s v="No"/>
    <s v="No"/>
    <x v="10"/>
    <x v="117"/>
    <x v="117"/>
    <x v="117"/>
    <n v="45469.86"/>
    <n v="1"/>
    <x v="1"/>
    <s v="Unknown"/>
    <s v="Unknown"/>
    <s v="Dr. Anita Sanchez"/>
  </r>
  <r>
    <s v="PT-1432"/>
    <x v="385"/>
    <n v="2"/>
    <x v="0"/>
    <x v="15"/>
    <s v="O+"/>
    <x v="3"/>
    <n v="164"/>
    <n v="64.8"/>
    <s v="No"/>
    <s v="No"/>
    <x v="3"/>
    <x v="360"/>
    <x v="360"/>
    <x v="360"/>
    <n v="29534.79"/>
    <n v="107"/>
    <x v="0"/>
    <n v="24.092801903628796"/>
    <s v="Normal"/>
    <s v="Dr. Vikram Wang"/>
  </r>
  <r>
    <s v="PT-1433"/>
    <x v="386"/>
    <n v="70"/>
    <x v="2"/>
    <x v="9"/>
    <s v="B+"/>
    <x v="10"/>
    <n v="153"/>
    <s v="Invalid"/>
    <s v="No"/>
    <s v="Yes"/>
    <x v="0"/>
    <x v="171"/>
    <x v="171"/>
    <x v="171"/>
    <n v="48768.74"/>
    <n v="1"/>
    <x v="2"/>
    <s v="Unknown"/>
    <s v="Unknown"/>
    <s v="Dr. Sunita Sanchez"/>
  </r>
  <r>
    <s v="PT-1434"/>
    <x v="387"/>
    <n v="65"/>
    <x v="0"/>
    <x v="9"/>
    <s v="O-"/>
    <x v="11"/>
    <n v="191.1"/>
    <s v="Invalid"/>
    <s v="Yes"/>
    <s v="Unknown"/>
    <x v="9"/>
    <x v="361"/>
    <x v="361"/>
    <x v="361"/>
    <n v="34392.370000000003"/>
    <n v="35"/>
    <x v="2"/>
    <s v="Unknown"/>
    <s v="Unknown"/>
    <s v="Dr. Vikram Khan"/>
  </r>
  <r>
    <s v="PT-1435"/>
    <x v="388"/>
    <n v="52"/>
    <x v="2"/>
    <x v="5"/>
    <s v="Ab+"/>
    <x v="14"/>
    <n v="174"/>
    <n v="93"/>
    <s v="Yes"/>
    <s v="No"/>
    <x v="1"/>
    <x v="362"/>
    <x v="362"/>
    <x v="362"/>
    <n v="15518.8"/>
    <n v="38"/>
    <x v="1"/>
    <n v="30.717399920729289"/>
    <s v="Obese"/>
    <s v="Dr. Arvind Wilson"/>
  </r>
  <r>
    <s v="PT-1436"/>
    <x v="389"/>
    <n v="6"/>
    <x v="0"/>
    <x v="3"/>
    <s v="A+"/>
    <x v="18"/>
    <n v="190.5"/>
    <n v="59"/>
    <s v="Yes"/>
    <s v="Unknown"/>
    <x v="10"/>
    <x v="363"/>
    <x v="363"/>
    <x v="363"/>
    <n v="4620.68"/>
    <n v="83"/>
    <x v="0"/>
    <n v="16.257810293398364"/>
    <s v="Underweight"/>
    <s v="Dr. Anita Sanchez"/>
  </r>
  <r>
    <s v="PT-1437"/>
    <x v="390"/>
    <n v="81"/>
    <x v="1"/>
    <x v="9"/>
    <s v="O+"/>
    <x v="6"/>
    <n v="150"/>
    <n v="88"/>
    <s v="Unknown"/>
    <s v="Unknown"/>
    <x v="0"/>
    <x v="70"/>
    <x v="70"/>
    <x v="70"/>
    <n v="13238.59"/>
    <n v="42"/>
    <x v="2"/>
    <n v="39.111111111111114"/>
    <s v="Obese"/>
    <s v="Dr. Sunita Sanchez"/>
  </r>
  <r>
    <s v="PT-1438"/>
    <x v="180"/>
    <n v="81"/>
    <x v="0"/>
    <x v="7"/>
    <s v="Ab+"/>
    <x v="18"/>
    <n v="149.4"/>
    <n v="121"/>
    <s v="No"/>
    <s v="Yes"/>
    <x v="5"/>
    <x v="93"/>
    <x v="93"/>
    <x v="93"/>
    <n v="9848.57"/>
    <n v="37"/>
    <x v="2"/>
    <n v="54.210595169611963"/>
    <s v="Obese"/>
    <s v="Dr. Arvind Chen"/>
  </r>
  <r>
    <s v="PT-1439"/>
    <x v="391"/>
    <n v="51"/>
    <x v="0"/>
    <x v="6"/>
    <s v="Ab+"/>
    <x v="16"/>
    <n v="173"/>
    <n v="127"/>
    <s v="Unknown"/>
    <s v="Yes"/>
    <x v="3"/>
    <x v="364"/>
    <x v="364"/>
    <x v="364"/>
    <n v="5436.63"/>
    <n v="107"/>
    <x v="1"/>
    <n v="42.433759898426274"/>
    <s v="Obese"/>
    <s v="Dr. Vikram Wang"/>
  </r>
  <r>
    <s v="PT-1441"/>
    <x v="392"/>
    <n v="14"/>
    <x v="2"/>
    <x v="8"/>
    <s v="B-"/>
    <x v="5"/>
    <n v="146"/>
    <n v="42.2"/>
    <s v="No"/>
    <s v="Yes"/>
    <x v="10"/>
    <x v="365"/>
    <x v="365"/>
    <x v="365"/>
    <n v="46123.7"/>
    <n v="1"/>
    <x v="0"/>
    <n v="19.797335334959659"/>
    <s v="Normal"/>
    <s v="Dr. Anita Sanchez"/>
  </r>
  <r>
    <s v="PT-1442"/>
    <x v="393"/>
    <n v="14"/>
    <x v="0"/>
    <x v="2"/>
    <s v="B+"/>
    <x v="11"/>
    <n v="152.1"/>
    <n v="94"/>
    <s v="No"/>
    <s v="Yes"/>
    <x v="10"/>
    <x v="366"/>
    <x v="366"/>
    <x v="366"/>
    <n v="21549.61"/>
    <n v="83"/>
    <x v="0"/>
    <n v="40.632114672472746"/>
    <s v="Obese"/>
    <s v="Dr. Anita Sanchez"/>
  </r>
  <r>
    <s v="PT-1443"/>
    <x v="394"/>
    <n v="64"/>
    <x v="0"/>
    <x v="2"/>
    <s v="A+"/>
    <x v="15"/>
    <n v="182.1"/>
    <n v="128"/>
    <s v="No"/>
    <s v="Yes"/>
    <x v="11"/>
    <x v="367"/>
    <x v="367"/>
    <x v="367"/>
    <n v="39944.11"/>
    <n v="31"/>
    <x v="2"/>
    <n v="38.600246498761628"/>
    <s v="Obese"/>
    <s v="Dr. Suresh Johnson"/>
  </r>
  <r>
    <s v="PT-1444"/>
    <x v="14"/>
    <n v="17"/>
    <x v="0"/>
    <x v="7"/>
    <s v="Ab+"/>
    <x v="3"/>
    <n v="184.3"/>
    <n v="97"/>
    <s v="Unknown"/>
    <s v="No"/>
    <x v="11"/>
    <x v="368"/>
    <x v="368"/>
    <x v="368"/>
    <n v="25106.560000000001"/>
    <n v="31"/>
    <x v="0"/>
    <n v="28.557557757660557"/>
    <s v="Overweight"/>
    <s v="Dr. Suresh Johnson"/>
  </r>
  <r>
    <s v="PT-1445"/>
    <x v="370"/>
    <n v="74"/>
    <x v="0"/>
    <x v="3"/>
    <s v="Ab-"/>
    <x v="17"/>
    <n v="190"/>
    <s v="Invalid"/>
    <s v="Yes"/>
    <s v="No"/>
    <x v="1"/>
    <x v="86"/>
    <x v="86"/>
    <x v="86"/>
    <n v="46084.75"/>
    <n v="1"/>
    <x v="2"/>
    <s v="Unknown"/>
    <s v="Unknown"/>
    <s v="Dr. Arvind Wilson"/>
  </r>
  <r>
    <s v="PT-1446"/>
    <x v="395"/>
    <n v="71"/>
    <x v="0"/>
    <x v="7"/>
    <s v="Ab+"/>
    <x v="15"/>
    <n v="176.4"/>
    <n v="103.4"/>
    <s v="Unknown"/>
    <s v="Yes"/>
    <x v="0"/>
    <x v="369"/>
    <x v="369"/>
    <x v="369"/>
    <n v="3177.13"/>
    <n v="42"/>
    <x v="2"/>
    <n v="33.229467145890858"/>
    <s v="Obese"/>
    <s v="Dr. Sunita Sanchez"/>
  </r>
  <r>
    <s v="PT-1447"/>
    <x v="396"/>
    <n v="11"/>
    <x v="1"/>
    <x v="1"/>
    <s v="A+"/>
    <x v="0"/>
    <n v="158.6"/>
    <n v="52.6"/>
    <s v="No"/>
    <s v="Yes"/>
    <x v="0"/>
    <x v="243"/>
    <x v="243"/>
    <x v="243"/>
    <n v="39179.15"/>
    <n v="42"/>
    <x v="0"/>
    <n v="20.911220340654122"/>
    <s v="Normal"/>
    <s v="Dr. Sunita Sanchez"/>
  </r>
  <r>
    <s v="PT-1448"/>
    <x v="378"/>
    <n v="21"/>
    <x v="0"/>
    <x v="1"/>
    <s v="Unknown"/>
    <x v="9"/>
    <n v="173"/>
    <n v="85"/>
    <s v="No"/>
    <s v="Yes"/>
    <x v="10"/>
    <x v="370"/>
    <x v="370"/>
    <x v="370"/>
    <n v="19189.23"/>
    <n v="83"/>
    <x v="3"/>
    <n v="28.400547963513649"/>
    <s v="Overweight"/>
    <s v="Dr. Anita Sanchez"/>
  </r>
  <r>
    <s v="PT-1449"/>
    <x v="397"/>
    <n v="72"/>
    <x v="2"/>
    <x v="1"/>
    <s v="Ab-"/>
    <x v="5"/>
    <n v="167"/>
    <n v="112.3"/>
    <s v="No"/>
    <s v="Yes"/>
    <x v="3"/>
    <x v="371"/>
    <x v="371"/>
    <x v="371"/>
    <n v="18453.73"/>
    <n v="107"/>
    <x v="2"/>
    <n v="40.266771845530499"/>
    <s v="Obese"/>
    <s v="Dr. Vikram Wang"/>
  </r>
  <r>
    <s v="PT-1450"/>
    <x v="398"/>
    <n v="2"/>
    <x v="0"/>
    <x v="8"/>
    <s v="Ab+"/>
    <x v="12"/>
    <n v="193.2"/>
    <n v="128"/>
    <s v="Unknown"/>
    <s v="No"/>
    <x v="3"/>
    <x v="372"/>
    <x v="372"/>
    <x v="372"/>
    <n v="5113.9399999999996"/>
    <n v="107"/>
    <x v="0"/>
    <n v="34.292229809378071"/>
    <s v="Obese"/>
    <s v="Dr. Vikram Wang"/>
  </r>
  <r>
    <s v="PT-1451"/>
    <x v="399"/>
    <n v="93"/>
    <x v="1"/>
    <x v="3"/>
    <s v="B-"/>
    <x v="3"/>
    <n v="176"/>
    <n v="110"/>
    <s v="Unknown"/>
    <s v="Yes"/>
    <x v="5"/>
    <x v="91"/>
    <x v="91"/>
    <x v="91"/>
    <n v="8480.5400000000009"/>
    <n v="37"/>
    <x v="2"/>
    <n v="35.51136363636364"/>
    <s v="Obese"/>
    <s v="Dr. Arvind Chen"/>
  </r>
  <r>
    <s v="PT-1452"/>
    <x v="400"/>
    <n v="84"/>
    <x v="0"/>
    <x v="7"/>
    <s v="O-"/>
    <x v="5"/>
    <n v="150"/>
    <n v="51.8"/>
    <s v="No"/>
    <s v="No"/>
    <x v="8"/>
    <x v="232"/>
    <x v="232"/>
    <x v="232"/>
    <n v="44588.66"/>
    <n v="21"/>
    <x v="2"/>
    <n v="23.022222222222222"/>
    <s v="Normal"/>
    <s v="Dr. Vikram Torres"/>
  </r>
  <r>
    <s v="PT-1453"/>
    <x v="401"/>
    <n v="81"/>
    <x v="1"/>
    <x v="1"/>
    <s v="A+"/>
    <x v="18"/>
    <n v="191"/>
    <n v="81"/>
    <s v="Yes"/>
    <s v="Yes"/>
    <x v="3"/>
    <x v="373"/>
    <x v="373"/>
    <x v="373"/>
    <n v="18484.75"/>
    <n v="107"/>
    <x v="2"/>
    <n v="22.203338724267429"/>
    <s v="Normal"/>
    <s v="Dr. Vikram Wang"/>
  </r>
  <r>
    <s v="PT-1454"/>
    <x v="402"/>
    <n v="57"/>
    <x v="0"/>
    <x v="3"/>
    <s v="B-"/>
    <x v="0"/>
    <n v="161"/>
    <n v="117"/>
    <s v="No"/>
    <s v="No"/>
    <x v="1"/>
    <x v="374"/>
    <x v="374"/>
    <x v="374"/>
    <n v="4632.78"/>
    <n v="38"/>
    <x v="1"/>
    <n v="45.137147486593875"/>
    <s v="Obese"/>
    <s v="Dr. Arvind Wilson"/>
  </r>
  <r>
    <s v="PT-1455"/>
    <x v="403"/>
    <n v="95"/>
    <x v="0"/>
    <x v="7"/>
    <s v="A+"/>
    <x v="18"/>
    <n v="160"/>
    <n v="117"/>
    <s v="No"/>
    <s v="No"/>
    <x v="2"/>
    <x v="375"/>
    <x v="375"/>
    <x v="375"/>
    <n v="23560.94"/>
    <n v="35"/>
    <x v="2"/>
    <n v="45.703124999999993"/>
    <s v="Obese"/>
    <s v="Dr. Neha Liu"/>
  </r>
  <r>
    <s v="PT-1456"/>
    <x v="404"/>
    <n v="51"/>
    <x v="0"/>
    <x v="14"/>
    <s v="Ab+"/>
    <x v="3"/>
    <n v="169"/>
    <n v="107"/>
    <s v="Yes"/>
    <s v="No"/>
    <x v="3"/>
    <x v="376"/>
    <x v="376"/>
    <x v="376"/>
    <n v="7702.93"/>
    <n v="107"/>
    <x v="1"/>
    <n v="37.463674241098005"/>
    <s v="Obese"/>
    <s v="Dr. Vikram Wang"/>
  </r>
  <r>
    <s v="PT-1457"/>
    <x v="405"/>
    <n v="56"/>
    <x v="1"/>
    <x v="0"/>
    <s v="A-"/>
    <x v="19"/>
    <n v="184.8"/>
    <n v="97"/>
    <s v="Yes"/>
    <s v="No"/>
    <x v="10"/>
    <x v="377"/>
    <x v="377"/>
    <x v="377"/>
    <n v="15267.67"/>
    <n v="83"/>
    <x v="1"/>
    <n v="28.403234572065738"/>
    <s v="Overweight"/>
    <s v="Dr. Anita Sanchez"/>
  </r>
  <r>
    <s v="PT-1458"/>
    <x v="406"/>
    <n v="55"/>
    <x v="1"/>
    <x v="7"/>
    <s v="B+"/>
    <x v="14"/>
    <n v="181.5"/>
    <n v="102"/>
    <s v="Unknown"/>
    <s v="Yes"/>
    <x v="10"/>
    <x v="378"/>
    <x v="378"/>
    <x v="378"/>
    <n v="28264.97"/>
    <n v="83"/>
    <x v="1"/>
    <n v="30.963276643216538"/>
    <s v="Obese"/>
    <s v="Dr. Anita Sanchez"/>
  </r>
  <r>
    <s v="PT-1459"/>
    <x v="407"/>
    <n v="94"/>
    <x v="1"/>
    <x v="0"/>
    <s v="O+"/>
    <x v="4"/>
    <n v="193.2"/>
    <n v="68.5"/>
    <s v="Yes"/>
    <s v="Yes"/>
    <x v="0"/>
    <x v="148"/>
    <x v="148"/>
    <x v="148"/>
    <n v="47194.53"/>
    <n v="1"/>
    <x v="2"/>
    <n v="18.351701108924981"/>
    <s v="Underweight"/>
    <s v="Dr. Sunita Sanchez"/>
  </r>
  <r>
    <s v="PT-1460"/>
    <x v="53"/>
    <n v="25"/>
    <x v="0"/>
    <x v="3"/>
    <s v="O-"/>
    <x v="11"/>
    <n v="173.8"/>
    <n v="92"/>
    <s v="No"/>
    <s v="No"/>
    <x v="3"/>
    <x v="379"/>
    <x v="379"/>
    <x v="379"/>
    <n v="25353.22"/>
    <n v="107"/>
    <x v="3"/>
    <n v="30.457081337622036"/>
    <s v="Obese"/>
    <s v="Dr. Vikram Wang"/>
  </r>
  <r>
    <s v="PT-1461"/>
    <x v="23"/>
    <n v="70"/>
    <x v="0"/>
    <x v="12"/>
    <s v="O+"/>
    <x v="1"/>
    <n v="182.3"/>
    <n v="93.5"/>
    <s v="No"/>
    <s v="Yes"/>
    <x v="8"/>
    <x v="380"/>
    <x v="380"/>
    <x v="380"/>
    <n v="14520.79"/>
    <n v="34"/>
    <x v="2"/>
    <n v="28.134439894455223"/>
    <s v="Overweight"/>
    <s v="Dr. Vikram Torres"/>
  </r>
  <r>
    <s v="PT-1462"/>
    <x v="124"/>
    <s v="Invalid"/>
    <x v="0"/>
    <x v="1"/>
    <s v="Unknown"/>
    <x v="10"/>
    <n v="182"/>
    <n v="85"/>
    <s v="Unknown"/>
    <s v="Yes"/>
    <x v="8"/>
    <x v="381"/>
    <x v="381"/>
    <x v="381"/>
    <n v="11532.53"/>
    <n v="34"/>
    <x v="4"/>
    <n v="25.661152034778407"/>
    <s v="Overweight"/>
    <s v="Dr. Vikram Torres"/>
  </r>
  <r>
    <s v="PT-1463"/>
    <x v="279"/>
    <n v="60"/>
    <x v="0"/>
    <x v="9"/>
    <s v="Ab+"/>
    <x v="4"/>
    <n v="170.6"/>
    <n v="99.3"/>
    <s v="No"/>
    <s v="Unknown"/>
    <x v="9"/>
    <x v="382"/>
    <x v="382"/>
    <x v="382"/>
    <n v="0"/>
    <n v="35"/>
    <x v="2"/>
    <n v="34.118599412596602"/>
    <s v="Obese"/>
    <s v="Dr. Vikram Khan"/>
  </r>
  <r>
    <s v="PT-1464"/>
    <x v="408"/>
    <n v="74"/>
    <x v="0"/>
    <x v="7"/>
    <s v="Ab+"/>
    <x v="19"/>
    <n v="176.2"/>
    <n v="92"/>
    <s v="Unknown"/>
    <s v="Yes"/>
    <x v="0"/>
    <x v="329"/>
    <x v="329"/>
    <x v="329"/>
    <n v="45256.480000000003"/>
    <n v="2"/>
    <x v="2"/>
    <n v="29.633027168332351"/>
    <s v="Overweight"/>
    <s v="Dr. Sunita Sanchez"/>
  </r>
  <r>
    <s v="PT-1465"/>
    <x v="409"/>
    <n v="51"/>
    <x v="1"/>
    <x v="7"/>
    <s v="A+"/>
    <x v="15"/>
    <n v="147"/>
    <n v="42"/>
    <s v="Unknown"/>
    <s v="No"/>
    <x v="3"/>
    <x v="383"/>
    <x v="383"/>
    <x v="383"/>
    <n v="35525.01"/>
    <n v="107"/>
    <x v="1"/>
    <n v="19.436345966958214"/>
    <s v="Normal"/>
    <s v="Dr. Vikram Wang"/>
  </r>
  <r>
    <s v="PT-1466"/>
    <x v="295"/>
    <n v="46"/>
    <x v="0"/>
    <x v="7"/>
    <s v="Ab-"/>
    <x v="8"/>
    <n v="175"/>
    <n v="99.3"/>
    <s v="No"/>
    <s v="Yes"/>
    <x v="2"/>
    <x v="384"/>
    <x v="384"/>
    <x v="384"/>
    <n v="49247.49"/>
    <n v="1"/>
    <x v="1"/>
    <n v="32.424489795918369"/>
    <s v="Obese"/>
    <s v="Dr. Neha Liu"/>
  </r>
  <r>
    <s v="PT-1467"/>
    <x v="410"/>
    <n v="24"/>
    <x v="1"/>
    <x v="1"/>
    <s v="Unknown"/>
    <x v="4"/>
    <n v="169"/>
    <n v="111.6"/>
    <s v="No"/>
    <s v="No"/>
    <x v="2"/>
    <x v="385"/>
    <x v="385"/>
    <x v="385"/>
    <n v="34523.15"/>
    <n v="35"/>
    <x v="3"/>
    <n v="39.074262105668573"/>
    <s v="Obese"/>
    <s v="Dr. Neha Liu"/>
  </r>
  <r>
    <s v="PT-1468"/>
    <x v="411"/>
    <n v="85"/>
    <x v="2"/>
    <x v="9"/>
    <s v="A-"/>
    <x v="1"/>
    <n v="164"/>
    <n v="94"/>
    <s v="Yes"/>
    <s v="Yes"/>
    <x v="0"/>
    <x v="17"/>
    <x v="17"/>
    <x v="17"/>
    <n v="100"/>
    <n v="42"/>
    <x v="2"/>
    <n v="34.949434860202267"/>
    <s v="Obese"/>
    <s v="Dr. Sunita Sanchez"/>
  </r>
  <r>
    <s v="PT-1469"/>
    <x v="412"/>
    <n v="28"/>
    <x v="0"/>
    <x v="9"/>
    <s v="O+"/>
    <x v="6"/>
    <n v="174"/>
    <n v="64.099999999999994"/>
    <s v="No"/>
    <s v="No"/>
    <x v="10"/>
    <x v="319"/>
    <x v="319"/>
    <x v="319"/>
    <n v="37387.129999999997"/>
    <n v="83"/>
    <x v="1"/>
    <n v="21.171885321706959"/>
    <s v="Normal"/>
    <s v="Dr. Anita Sanchez"/>
  </r>
  <r>
    <s v="PT-1470"/>
    <x v="413"/>
    <n v="92"/>
    <x v="0"/>
    <x v="1"/>
    <s v="B-"/>
    <x v="0"/>
    <n v="177.1"/>
    <n v="125.8"/>
    <s v="No"/>
    <s v="No"/>
    <x v="11"/>
    <x v="57"/>
    <x v="57"/>
    <x v="57"/>
    <n v="31334.09"/>
    <n v="31"/>
    <x v="2"/>
    <n v="40.109155568365551"/>
    <s v="Obese"/>
    <s v="Dr. Suresh Johnson"/>
  </r>
  <r>
    <s v="PT-1471"/>
    <x v="414"/>
    <n v="66"/>
    <x v="0"/>
    <x v="11"/>
    <s v="Unknown"/>
    <x v="8"/>
    <n v="173"/>
    <n v="50.3"/>
    <s v="No"/>
    <s v="Yes"/>
    <x v="10"/>
    <x v="386"/>
    <x v="386"/>
    <x v="386"/>
    <n v="11151.62"/>
    <n v="83"/>
    <x v="2"/>
    <n v="16.80644191252631"/>
    <s v="Underweight"/>
    <s v="Dr. Anita Sanchez"/>
  </r>
  <r>
    <s v="PT-1472"/>
    <x v="415"/>
    <n v="28"/>
    <x v="1"/>
    <x v="11"/>
    <s v="O+"/>
    <x v="6"/>
    <n v="187"/>
    <n v="49.3"/>
    <s v="Unknown"/>
    <s v="No"/>
    <x v="7"/>
    <x v="387"/>
    <x v="387"/>
    <x v="387"/>
    <n v="44686.87"/>
    <n v="15"/>
    <x v="1"/>
    <n v="14.098201263976662"/>
    <s v="Underweight"/>
    <s v="Dr. Meera Torres"/>
  </r>
  <r>
    <s v="PT-1473"/>
    <x v="416"/>
    <n v="64"/>
    <x v="0"/>
    <x v="5"/>
    <s v="Unknown"/>
    <x v="1"/>
    <n v="178"/>
    <n v="61"/>
    <s v="Yes"/>
    <s v="Yes"/>
    <x v="2"/>
    <x v="388"/>
    <x v="388"/>
    <x v="388"/>
    <n v="14576.11"/>
    <n v="35"/>
    <x v="2"/>
    <n v="19.252619618735007"/>
    <s v="Normal"/>
    <s v="Dr. Neha Liu"/>
  </r>
  <r>
    <s v="PT-1474"/>
    <x v="417"/>
    <s v="Invalid"/>
    <x v="1"/>
    <x v="1"/>
    <s v="Unknown"/>
    <x v="10"/>
    <n v="194"/>
    <n v="90.1"/>
    <s v="No"/>
    <s v="No"/>
    <x v="3"/>
    <x v="324"/>
    <x v="324"/>
    <x v="324"/>
    <n v="34974.620000000003"/>
    <n v="107"/>
    <x v="4"/>
    <n v="23.939844829418643"/>
    <s v="Normal"/>
    <s v="Dr. Vikram Wang"/>
  </r>
  <r>
    <s v="PT-1475"/>
    <x v="418"/>
    <n v="29"/>
    <x v="0"/>
    <x v="9"/>
    <s v="O+"/>
    <x v="1"/>
    <n v="154.1"/>
    <n v="47.9"/>
    <s v="Yes"/>
    <s v="Yes"/>
    <x v="7"/>
    <x v="389"/>
    <x v="389"/>
    <x v="389"/>
    <n v="0"/>
    <n v="35"/>
    <x v="1"/>
    <n v="20.171130353929644"/>
    <s v="Normal"/>
    <s v="Dr. Meera Torres"/>
  </r>
  <r>
    <s v="PT-1476"/>
    <x v="419"/>
    <n v="49"/>
    <x v="0"/>
    <x v="3"/>
    <s v="O-"/>
    <x v="18"/>
    <n v="174"/>
    <n v="107.8"/>
    <s v="Unknown"/>
    <s v="No"/>
    <x v="2"/>
    <x v="390"/>
    <x v="390"/>
    <x v="390"/>
    <n v="26615.65"/>
    <n v="35"/>
    <x v="1"/>
    <n v="35.605760338221693"/>
    <s v="Obese"/>
    <s v="Dr. Neha Liu"/>
  </r>
  <r>
    <s v="PT-1477"/>
    <x v="420"/>
    <n v="38"/>
    <x v="1"/>
    <x v="1"/>
    <s v="O+"/>
    <x v="12"/>
    <n v="192"/>
    <n v="46.8"/>
    <s v="Yes"/>
    <s v="No"/>
    <x v="3"/>
    <x v="391"/>
    <x v="391"/>
    <x v="391"/>
    <n v="41016.32"/>
    <n v="107"/>
    <x v="1"/>
    <n v="12.6953125"/>
    <s v="Underweight"/>
    <s v="Dr. Vikram Wang"/>
  </r>
  <r>
    <s v="PT-1478"/>
    <x v="421"/>
    <n v="40"/>
    <x v="1"/>
    <x v="10"/>
    <s v="O+"/>
    <x v="4"/>
    <n v="162.30000000000001"/>
    <n v="74.7"/>
    <s v="Unknown"/>
    <s v="Yes"/>
    <x v="9"/>
    <x v="343"/>
    <x v="343"/>
    <x v="343"/>
    <n v="3897.65"/>
    <n v="35"/>
    <x v="1"/>
    <n v="28.358520026923504"/>
    <s v="Overweight"/>
    <s v="Dr. Vikram Khan"/>
  </r>
  <r>
    <s v="PT-1479"/>
    <x v="153"/>
    <n v="15"/>
    <x v="1"/>
    <x v="9"/>
    <s v="Ab-"/>
    <x v="14"/>
    <n v="161.69999999999999"/>
    <n v="51"/>
    <s v="No"/>
    <s v="Yes"/>
    <x v="9"/>
    <x v="392"/>
    <x v="392"/>
    <x v="392"/>
    <n v="25358.42"/>
    <n v="35"/>
    <x v="0"/>
    <n v="19.505187806274478"/>
    <s v="Normal"/>
    <s v="Dr. Vikram Khan"/>
  </r>
  <r>
    <s v="PT-1480"/>
    <x v="422"/>
    <n v="55"/>
    <x v="1"/>
    <x v="8"/>
    <s v="Ab+"/>
    <x v="3"/>
    <n v="151.9"/>
    <n v="50"/>
    <s v="Unknown"/>
    <s v="No"/>
    <x v="3"/>
    <x v="393"/>
    <x v="393"/>
    <x v="393"/>
    <n v="0"/>
    <n v="107"/>
    <x v="1"/>
    <n v="21.669777724421966"/>
    <s v="Normal"/>
    <s v="Dr. Vikram Wang"/>
  </r>
  <r>
    <s v="PT-1481"/>
    <x v="423"/>
    <n v="92"/>
    <x v="0"/>
    <x v="1"/>
    <s v="Ab+"/>
    <x v="1"/>
    <n v="191.2"/>
    <n v="55"/>
    <s v="No"/>
    <s v="Unknown"/>
    <x v="10"/>
    <x v="394"/>
    <x v="394"/>
    <x v="394"/>
    <n v="653.79"/>
    <n v="83"/>
    <x v="2"/>
    <n v="15.044817142557029"/>
    <s v="Underweight"/>
    <s v="Dr. Anita Sanchez"/>
  </r>
  <r>
    <s v="PT-1482"/>
    <x v="424"/>
    <n v="22"/>
    <x v="1"/>
    <x v="2"/>
    <s v="B+"/>
    <x v="14"/>
    <n v="167"/>
    <n v="99.9"/>
    <s v="No"/>
    <s v="Yes"/>
    <x v="3"/>
    <x v="13"/>
    <x v="13"/>
    <x v="13"/>
    <n v="8950.89"/>
    <n v="107"/>
    <x v="3"/>
    <n v="35.820574420022233"/>
    <s v="Obese"/>
    <s v="Dr. Vikram Wang"/>
  </r>
  <r>
    <s v="PT-1483"/>
    <x v="425"/>
    <n v="61"/>
    <x v="1"/>
    <x v="2"/>
    <s v="A+"/>
    <x v="0"/>
    <n v="164"/>
    <n v="55"/>
    <s v="No"/>
    <s v="No"/>
    <x v="10"/>
    <x v="395"/>
    <x v="395"/>
    <x v="395"/>
    <n v="24787.759999999998"/>
    <n v="83"/>
    <x v="2"/>
    <n v="20.449137418203453"/>
    <s v="Normal"/>
    <s v="Dr. Anita Sanchez"/>
  </r>
  <r>
    <s v="PT-1484"/>
    <x v="426"/>
    <n v="39"/>
    <x v="1"/>
    <x v="9"/>
    <s v="Unknown"/>
    <x v="1"/>
    <s v="Invalid"/>
    <n v="77"/>
    <s v="Unknown"/>
    <s v="Yes"/>
    <x v="10"/>
    <x v="396"/>
    <x v="396"/>
    <x v="396"/>
    <n v="12596.21"/>
    <n v="83"/>
    <x v="1"/>
    <s v="Unknown"/>
    <s v="Unknown"/>
    <s v="Dr. Anita Sanchez"/>
  </r>
  <r>
    <s v="PT-1485"/>
    <x v="427"/>
    <n v="82"/>
    <x v="1"/>
    <x v="5"/>
    <s v="Ab-"/>
    <x v="5"/>
    <n v="169"/>
    <n v="75.2"/>
    <s v="Yes"/>
    <s v="Yes"/>
    <x v="9"/>
    <x v="397"/>
    <x v="397"/>
    <x v="397"/>
    <n v="26243.85"/>
    <n v="35"/>
    <x v="2"/>
    <n v="26.329610307762337"/>
    <s v="Overweight"/>
    <s v="Dr. Vikram Khan"/>
  </r>
  <r>
    <s v="PT-1486"/>
    <x v="273"/>
    <n v="37"/>
    <x v="1"/>
    <x v="9"/>
    <s v="Unknown"/>
    <x v="9"/>
    <n v="172"/>
    <n v="99.8"/>
    <s v="No"/>
    <s v="Yes"/>
    <x v="3"/>
    <x v="398"/>
    <x v="398"/>
    <x v="398"/>
    <n v="22965.98"/>
    <n v="107"/>
    <x v="1"/>
    <n v="33.734451054624124"/>
    <s v="Obese"/>
    <s v="Dr. Vikram Wang"/>
  </r>
  <r>
    <s v="PT-1487"/>
    <x v="428"/>
    <n v="1"/>
    <x v="0"/>
    <x v="5"/>
    <s v="O+"/>
    <x v="3"/>
    <n v="166.3"/>
    <n v="104"/>
    <s v="Unknown"/>
    <s v="No"/>
    <x v="11"/>
    <x v="399"/>
    <x v="399"/>
    <x v="399"/>
    <n v="11333.46"/>
    <n v="31"/>
    <x v="0"/>
    <n v="37.60528122784136"/>
    <s v="Obese"/>
    <s v="Dr. Suresh Johnson"/>
  </r>
  <r>
    <s v="PT-1488"/>
    <x v="429"/>
    <n v="13"/>
    <x v="0"/>
    <x v="8"/>
    <s v="B+"/>
    <x v="14"/>
    <n v="171"/>
    <n v="53"/>
    <s v="Yes"/>
    <s v="Yes"/>
    <x v="11"/>
    <x v="400"/>
    <x v="400"/>
    <x v="400"/>
    <n v="15597.31"/>
    <n v="31"/>
    <x v="0"/>
    <n v="18.125235115078144"/>
    <s v="Underweight"/>
    <s v="Dr. Suresh Johnson"/>
  </r>
  <r>
    <s v="PT-1489"/>
    <x v="430"/>
    <n v="13"/>
    <x v="0"/>
    <x v="12"/>
    <s v="Ab-"/>
    <x v="17"/>
    <n v="171"/>
    <n v="78.5"/>
    <s v="No"/>
    <s v="No"/>
    <x v="3"/>
    <x v="401"/>
    <x v="401"/>
    <x v="401"/>
    <n v="4877.2299999999996"/>
    <n v="107"/>
    <x v="0"/>
    <n v="26.845867104408196"/>
    <s v="Overweight"/>
    <s v="Dr. Vikram Wang"/>
  </r>
  <r>
    <s v="PT-1490"/>
    <x v="431"/>
    <n v="73"/>
    <x v="0"/>
    <x v="2"/>
    <s v="Ab+"/>
    <x v="18"/>
    <n v="192.3"/>
    <n v="47.6"/>
    <s v="Unknown"/>
    <s v="No"/>
    <x v="10"/>
    <x v="402"/>
    <x v="402"/>
    <x v="402"/>
    <n v="28489.45"/>
    <n v="83"/>
    <x v="2"/>
    <n v="12.872069744984287"/>
    <s v="Underweight"/>
    <s v="Dr. Anita Sanchez"/>
  </r>
  <r>
    <s v="PT-1491"/>
    <x v="431"/>
    <n v="27"/>
    <x v="2"/>
    <x v="3"/>
    <s v="Unknown"/>
    <x v="18"/>
    <n v="183"/>
    <n v="68"/>
    <s v="No"/>
    <s v="No"/>
    <x v="0"/>
    <x v="110"/>
    <x v="110"/>
    <x v="110"/>
    <n v="3823.53"/>
    <n v="42"/>
    <x v="1"/>
    <n v="20.305174833527424"/>
    <s v="Normal"/>
    <s v="Dr. Sunita Sanchez"/>
  </r>
  <r>
    <s v="PT-1492"/>
    <x v="432"/>
    <s v="Invalid"/>
    <x v="2"/>
    <x v="10"/>
    <s v="Ab+"/>
    <x v="18"/>
    <n v="178"/>
    <n v="113.8"/>
    <s v="Unknown"/>
    <s v="Unknown"/>
    <x v="5"/>
    <x v="130"/>
    <x v="130"/>
    <x v="130"/>
    <n v="0"/>
    <n v="37"/>
    <x v="4"/>
    <n v="35.91718217396793"/>
    <s v="Obese"/>
    <s v="Dr. Arvind Chen"/>
  </r>
  <r>
    <s v="PT-1493"/>
    <x v="433"/>
    <n v="26"/>
    <x v="1"/>
    <x v="13"/>
    <s v="B+"/>
    <x v="8"/>
    <n v="172.3"/>
    <n v="64.8"/>
    <s v="Unknown"/>
    <s v="No"/>
    <x v="5"/>
    <x v="164"/>
    <x v="164"/>
    <x v="164"/>
    <n v="7834.24"/>
    <n v="37"/>
    <x v="1"/>
    <n v="21.827522822056171"/>
    <s v="Normal"/>
    <s v="Dr. Arvind Chen"/>
  </r>
  <r>
    <s v="PT-1494"/>
    <x v="164"/>
    <n v="85"/>
    <x v="2"/>
    <x v="10"/>
    <s v="A-"/>
    <x v="3"/>
    <n v="171"/>
    <n v="128.4"/>
    <s v="Yes"/>
    <s v="Yes"/>
    <x v="9"/>
    <x v="403"/>
    <x v="403"/>
    <x v="403"/>
    <n v="26490.25"/>
    <n v="35"/>
    <x v="2"/>
    <n v="43.91094695803838"/>
    <s v="Obese"/>
    <s v="Dr. Vikram Khan"/>
  </r>
  <r>
    <s v="PT-1495"/>
    <x v="434"/>
    <n v="18"/>
    <x v="0"/>
    <x v="7"/>
    <s v="B+"/>
    <x v="3"/>
    <n v="152.19999999999999"/>
    <n v="82"/>
    <s v="Unknown"/>
    <s v="Unknown"/>
    <x v="7"/>
    <x v="404"/>
    <x v="404"/>
    <x v="404"/>
    <n v="26508.98"/>
    <n v="35"/>
    <x v="0"/>
    <n v="35.398474584758631"/>
    <s v="Obese"/>
    <s v="Dr. Meera Torres"/>
  </r>
  <r>
    <s v="PT-1496"/>
    <x v="435"/>
    <n v="6"/>
    <x v="0"/>
    <x v="0"/>
    <s v="O-"/>
    <x v="6"/>
    <n v="149"/>
    <n v="101.1"/>
    <s v="No"/>
    <s v="Unknown"/>
    <x v="4"/>
    <x v="405"/>
    <x v="405"/>
    <x v="405"/>
    <n v="45039.82"/>
    <n v="11"/>
    <x v="0"/>
    <n v="45.538489257240663"/>
    <s v="Obese"/>
    <s v="Dr. Rahul Nair"/>
  </r>
  <r>
    <s v="PT-1497"/>
    <x v="436"/>
    <n v="5"/>
    <x v="1"/>
    <x v="0"/>
    <s v="B+"/>
    <x v="7"/>
    <n v="186"/>
    <n v="68.900000000000006"/>
    <s v="No"/>
    <s v="Yes"/>
    <x v="2"/>
    <x v="406"/>
    <x v="406"/>
    <x v="406"/>
    <n v="12998.5"/>
    <n v="35"/>
    <x v="0"/>
    <n v="19.915597178864608"/>
    <s v="Normal"/>
    <s v="Dr. Neha Liu"/>
  </r>
  <r>
    <s v="PT-1498"/>
    <x v="1"/>
    <n v="25"/>
    <x v="1"/>
    <x v="11"/>
    <s v="A+"/>
    <x v="13"/>
    <n v="164"/>
    <n v="120.4"/>
    <s v="No"/>
    <s v="No"/>
    <x v="1"/>
    <x v="407"/>
    <x v="407"/>
    <x v="407"/>
    <n v="9672.57"/>
    <n v="38"/>
    <x v="3"/>
    <n v="44.765020820939924"/>
    <s v="Obese"/>
    <s v="Dr. Arvind Wilson"/>
  </r>
  <r>
    <s v="PT-1499"/>
    <x v="437"/>
    <n v="61"/>
    <x v="2"/>
    <x v="2"/>
    <s v="O+"/>
    <x v="11"/>
    <n v="155.4"/>
    <n v="96"/>
    <s v="Unknown"/>
    <s v="No"/>
    <x v="3"/>
    <x v="408"/>
    <x v="408"/>
    <x v="408"/>
    <n v="5495.19"/>
    <n v="107"/>
    <x v="2"/>
    <n v="39.752935505831253"/>
    <s v="Obese"/>
    <s v="Dr. Vikram Wang"/>
  </r>
  <r>
    <s v="PT-1500"/>
    <x v="438"/>
    <n v="33"/>
    <x v="0"/>
    <x v="3"/>
    <s v="O+"/>
    <x v="16"/>
    <n v="175.2"/>
    <n v="91.8"/>
    <s v="No"/>
    <s v="No"/>
    <x v="3"/>
    <x v="409"/>
    <x v="409"/>
    <x v="409"/>
    <n v="23813.45"/>
    <n v="107"/>
    <x v="1"/>
    <n v="29.90711202852318"/>
    <s v="Overweight"/>
    <s v="Dr. Vikram Wang"/>
  </r>
  <r>
    <s v="PT-1501"/>
    <x v="439"/>
    <n v="8"/>
    <x v="0"/>
    <x v="0"/>
    <s v="O+"/>
    <x v="15"/>
    <n v="157"/>
    <n v="113"/>
    <s v="No"/>
    <s v="No"/>
    <x v="11"/>
    <x v="399"/>
    <x v="399"/>
    <x v="399"/>
    <n v="24199.19"/>
    <n v="31"/>
    <x v="0"/>
    <n v="45.843644772607405"/>
    <s v="Obese"/>
    <s v="Dr. Suresh Johnson"/>
  </r>
  <r>
    <s v="PT-1502"/>
    <x v="440"/>
    <n v="62"/>
    <x v="0"/>
    <x v="7"/>
    <s v="A+"/>
    <x v="18"/>
    <n v="156.30000000000001"/>
    <n v="57.7"/>
    <s v="Unknown"/>
    <s v="Unknown"/>
    <x v="0"/>
    <x v="215"/>
    <x v="215"/>
    <x v="215"/>
    <n v="24367.58"/>
    <n v="42"/>
    <x v="2"/>
    <n v="23.618801548443713"/>
    <s v="Normal"/>
    <s v="Dr. Sunita Sanchez"/>
  </r>
  <r>
    <s v="PT-1503"/>
    <x v="129"/>
    <n v="16"/>
    <x v="2"/>
    <x v="2"/>
    <s v="O+"/>
    <x v="19"/>
    <n v="169.5"/>
    <n v="93"/>
    <s v="No"/>
    <s v="Unknown"/>
    <x v="4"/>
    <x v="410"/>
    <x v="410"/>
    <x v="410"/>
    <n v="43726.16"/>
    <n v="45"/>
    <x v="0"/>
    <n v="32.37006291278356"/>
    <s v="Obese"/>
    <s v="Dr. Rahul Nair"/>
  </r>
  <r>
    <s v="PT-1504"/>
    <x v="170"/>
    <n v="78"/>
    <x v="0"/>
    <x v="7"/>
    <s v="B+"/>
    <x v="18"/>
    <n v="166.8"/>
    <n v="47"/>
    <s v="No"/>
    <s v="Unknown"/>
    <x v="0"/>
    <x v="411"/>
    <x v="411"/>
    <x v="411"/>
    <n v="22455.32"/>
    <n v="42"/>
    <x v="2"/>
    <n v="16.892960451782454"/>
    <s v="Underweight"/>
    <s v="Dr. Sunita Sanchez"/>
  </r>
  <r>
    <s v="PT-1505"/>
    <x v="441"/>
    <n v="90"/>
    <x v="2"/>
    <x v="12"/>
    <s v="B-"/>
    <x v="18"/>
    <n v="195"/>
    <n v="58"/>
    <s v="Yes"/>
    <s v="No"/>
    <x v="10"/>
    <x v="412"/>
    <x v="412"/>
    <x v="412"/>
    <n v="18933.3"/>
    <n v="83"/>
    <x v="2"/>
    <n v="15.253122945430638"/>
    <s v="Underweight"/>
    <s v="Dr. Anita Sanchez"/>
  </r>
  <r>
    <s v="PT-1506"/>
    <x v="198"/>
    <n v="15"/>
    <x v="0"/>
    <x v="13"/>
    <s v="A-"/>
    <x v="2"/>
    <n v="157"/>
    <s v="Invalid"/>
    <s v="No"/>
    <s v="No"/>
    <x v="3"/>
    <x v="413"/>
    <x v="413"/>
    <x v="413"/>
    <n v="22478.98"/>
    <n v="107"/>
    <x v="0"/>
    <s v="Unknown"/>
    <s v="Unknown"/>
    <s v="Dr. Vikram Wang"/>
  </r>
  <r>
    <s v="PT-1507"/>
    <x v="442"/>
    <s v="Invalid"/>
    <x v="0"/>
    <x v="6"/>
    <s v="O+"/>
    <x v="15"/>
    <n v="167.9"/>
    <n v="70.7"/>
    <s v="No"/>
    <s v="Unknown"/>
    <x v="7"/>
    <x v="414"/>
    <x v="414"/>
    <x v="414"/>
    <n v="27888.06"/>
    <n v="35"/>
    <x v="4"/>
    <n v="25.079450777764492"/>
    <s v="Overweight"/>
    <s v="Dr. Meera Torres"/>
  </r>
  <r>
    <s v="PT-1508"/>
    <x v="443"/>
    <n v="67"/>
    <x v="0"/>
    <x v="4"/>
    <s v="Ab+"/>
    <x v="7"/>
    <n v="170.8"/>
    <n v="65.3"/>
    <s v="No"/>
    <s v="No"/>
    <x v="4"/>
    <x v="415"/>
    <x v="415"/>
    <x v="415"/>
    <n v="0"/>
    <n v="45"/>
    <x v="2"/>
    <n v="22.38398718799532"/>
    <s v="Normal"/>
    <s v="Dr. Rahul Nair"/>
  </r>
  <r>
    <s v="PT-1509"/>
    <x v="444"/>
    <n v="85"/>
    <x v="1"/>
    <x v="5"/>
    <s v="O-"/>
    <x v="7"/>
    <n v="163"/>
    <s v="Invalid"/>
    <s v="No"/>
    <s v="No"/>
    <x v="2"/>
    <x v="251"/>
    <x v="251"/>
    <x v="251"/>
    <n v="3399.95"/>
    <n v="35"/>
    <x v="2"/>
    <s v="Unknown"/>
    <s v="Unknown"/>
    <s v="Dr. Neha Liu"/>
  </r>
  <r>
    <s v="PT-1510"/>
    <x v="445"/>
    <n v="36"/>
    <x v="0"/>
    <x v="13"/>
    <s v="O+"/>
    <x v="6"/>
    <n v="157.4"/>
    <n v="99"/>
    <s v="Unknown"/>
    <s v="Yes"/>
    <x v="8"/>
    <x v="416"/>
    <x v="416"/>
    <x v="416"/>
    <n v="16208.05"/>
    <n v="34"/>
    <x v="1"/>
    <n v="39.960023830705119"/>
    <s v="Obese"/>
    <s v="Dr. Vikram Torres"/>
  </r>
  <r>
    <s v="PT-1511"/>
    <x v="446"/>
    <n v="46"/>
    <x v="2"/>
    <x v="3"/>
    <s v="A-"/>
    <x v="11"/>
    <n v="195"/>
    <n v="47"/>
    <s v="No"/>
    <s v="No"/>
    <x v="10"/>
    <x v="209"/>
    <x v="209"/>
    <x v="209"/>
    <n v="32273.41"/>
    <n v="83"/>
    <x v="1"/>
    <n v="12.360289283366207"/>
    <s v="Underweight"/>
    <s v="Dr. Anita Sanchez"/>
  </r>
  <r>
    <s v="PT-1512"/>
    <x v="385"/>
    <n v="48"/>
    <x v="1"/>
    <x v="8"/>
    <s v="A+"/>
    <x v="14"/>
    <n v="160"/>
    <n v="42"/>
    <s v="No"/>
    <s v="Yes"/>
    <x v="0"/>
    <x v="417"/>
    <x v="417"/>
    <x v="417"/>
    <n v="35785.589999999997"/>
    <n v="42"/>
    <x v="1"/>
    <n v="16.406249999999996"/>
    <s v="Underweight"/>
    <s v="Dr. Sunita Sanchez"/>
  </r>
  <r>
    <s v="PT-1513"/>
    <x v="447"/>
    <n v="11"/>
    <x v="1"/>
    <x v="7"/>
    <s v="Unknown"/>
    <x v="12"/>
    <n v="154.30000000000001"/>
    <n v="99.3"/>
    <s v="No"/>
    <s v="Yes"/>
    <x v="9"/>
    <x v="1"/>
    <x v="1"/>
    <x v="1"/>
    <n v="16769.88"/>
    <n v="35"/>
    <x v="0"/>
    <n v="41.707810953151579"/>
    <s v="Obese"/>
    <s v="Dr. Vikram Khan"/>
  </r>
  <r>
    <s v="PT-1514"/>
    <x v="448"/>
    <n v="53"/>
    <x v="1"/>
    <x v="1"/>
    <s v="O+"/>
    <x v="12"/>
    <n v="190.7"/>
    <n v="80.400000000000006"/>
    <s v="No"/>
    <s v="No"/>
    <x v="8"/>
    <x v="418"/>
    <x v="418"/>
    <x v="418"/>
    <n v="12624.72"/>
    <n v="34"/>
    <x v="1"/>
    <n v="22.108265053899899"/>
    <s v="Normal"/>
    <s v="Dr. Vikram Torres"/>
  </r>
  <r>
    <s v="PT-1515"/>
    <x v="449"/>
    <n v="16"/>
    <x v="1"/>
    <x v="14"/>
    <s v="Unknown"/>
    <x v="5"/>
    <n v="163"/>
    <n v="119"/>
    <s v="Yes"/>
    <s v="No"/>
    <x v="11"/>
    <x v="419"/>
    <x v="419"/>
    <x v="419"/>
    <n v="35713.4"/>
    <n v="31"/>
    <x v="0"/>
    <n v="44.789039858481694"/>
    <s v="Obese"/>
    <s v="Dr. Suresh Johnson"/>
  </r>
  <r>
    <s v="PT-1516"/>
    <x v="365"/>
    <n v="17"/>
    <x v="2"/>
    <x v="12"/>
    <s v="Ab+"/>
    <x v="7"/>
    <n v="161"/>
    <n v="50.7"/>
    <s v="Unknown"/>
    <s v="No"/>
    <x v="6"/>
    <x v="390"/>
    <x v="390"/>
    <x v="390"/>
    <n v="2739.27"/>
    <n v="30"/>
    <x v="0"/>
    <n v="19.559430577524015"/>
    <s v="Normal"/>
    <s v="Dr. Sunita Zhang"/>
  </r>
  <r>
    <s v="PT-1517"/>
    <x v="450"/>
    <n v="62"/>
    <x v="1"/>
    <x v="3"/>
    <s v="O-"/>
    <x v="10"/>
    <n v="160"/>
    <n v="40.700000000000003"/>
    <s v="Unknown"/>
    <s v="Unknown"/>
    <x v="5"/>
    <x v="233"/>
    <x v="233"/>
    <x v="233"/>
    <n v="22210.06"/>
    <n v="37"/>
    <x v="2"/>
    <n v="15.898437499999998"/>
    <s v="Underweight"/>
    <s v="Dr. Arvind Chen"/>
  </r>
  <r>
    <s v="PT-1518"/>
    <x v="451"/>
    <n v="73"/>
    <x v="2"/>
    <x v="12"/>
    <s v="Unknown"/>
    <x v="8"/>
    <n v="161"/>
    <n v="44"/>
    <s v="No"/>
    <s v="Yes"/>
    <x v="10"/>
    <x v="420"/>
    <x v="420"/>
    <x v="420"/>
    <n v="17693.61"/>
    <n v="83"/>
    <x v="2"/>
    <n v="16.974653755642141"/>
    <s v="Underweight"/>
    <s v="Dr. Anita Sanchez"/>
  </r>
  <r>
    <s v="PT-1519"/>
    <x v="452"/>
    <n v="78"/>
    <x v="0"/>
    <x v="1"/>
    <s v="Ab-"/>
    <x v="9"/>
    <n v="185.3"/>
    <s v="Invalid"/>
    <s v="Yes"/>
    <s v="Yes"/>
    <x v="1"/>
    <x v="421"/>
    <x v="421"/>
    <x v="421"/>
    <n v="24674.11"/>
    <n v="38"/>
    <x v="2"/>
    <s v="Unknown"/>
    <s v="Unknown"/>
    <s v="Dr. Arvind Wilson"/>
  </r>
  <r>
    <s v="PT-1520"/>
    <x v="453"/>
    <n v="59"/>
    <x v="0"/>
    <x v="1"/>
    <s v="B-"/>
    <x v="7"/>
    <n v="192.2"/>
    <n v="129"/>
    <s v="No"/>
    <s v="No"/>
    <x v="0"/>
    <x v="240"/>
    <x v="240"/>
    <x v="240"/>
    <n v="4180.34"/>
    <n v="42"/>
    <x v="1"/>
    <n v="34.920700233129516"/>
    <s v="Obese"/>
    <s v="Dr. Sunita Sanchez"/>
  </r>
  <r>
    <s v="PT-1521"/>
    <x v="454"/>
    <n v="89"/>
    <x v="1"/>
    <x v="2"/>
    <s v="Unknown"/>
    <x v="1"/>
    <n v="177.8"/>
    <n v="90"/>
    <s v="Unknown"/>
    <s v="Unknown"/>
    <x v="3"/>
    <x v="422"/>
    <x v="422"/>
    <x v="422"/>
    <n v="29524"/>
    <n v="107"/>
    <x v="2"/>
    <n v="28.469444693991427"/>
    <s v="Overweight"/>
    <s v="Dr. Vikram Wang"/>
  </r>
  <r>
    <s v="PT-1522"/>
    <x v="455"/>
    <n v="64"/>
    <x v="0"/>
    <x v="3"/>
    <s v="Ab+"/>
    <x v="13"/>
    <n v="151"/>
    <s v="Invalid"/>
    <s v="No"/>
    <s v="No"/>
    <x v="1"/>
    <x v="423"/>
    <x v="423"/>
    <x v="423"/>
    <n v="9316.69"/>
    <n v="38"/>
    <x v="2"/>
    <s v="Unknown"/>
    <s v="Unknown"/>
    <s v="Dr. Arvind Wilson"/>
  </r>
  <r>
    <s v="PT-1523"/>
    <x v="456"/>
    <n v="85"/>
    <x v="0"/>
    <x v="8"/>
    <s v="Ab-"/>
    <x v="8"/>
    <n v="175.7"/>
    <n v="88.9"/>
    <s v="No"/>
    <s v="No"/>
    <x v="3"/>
    <x v="424"/>
    <x v="424"/>
    <x v="424"/>
    <n v="48483.43"/>
    <n v="1"/>
    <x v="2"/>
    <n v="28.797728834236199"/>
    <s v="Overweight"/>
    <s v="Dr. Vikram Wang"/>
  </r>
  <r>
    <s v="PT-1524"/>
    <x v="457"/>
    <n v="51"/>
    <x v="1"/>
    <x v="3"/>
    <s v="Unknown"/>
    <x v="15"/>
    <n v="172"/>
    <n v="42.6"/>
    <s v="Yes"/>
    <s v="No"/>
    <x v="7"/>
    <x v="425"/>
    <x v="425"/>
    <x v="425"/>
    <n v="28331.74"/>
    <n v="35"/>
    <x v="1"/>
    <n v="14.399675500270419"/>
    <s v="Underweight"/>
    <s v="Dr. Meera Torres"/>
  </r>
  <r>
    <s v="PT-1525"/>
    <x v="458"/>
    <n v="35"/>
    <x v="1"/>
    <x v="0"/>
    <s v="Ab-"/>
    <x v="3"/>
    <n v="169"/>
    <n v="92"/>
    <s v="Yes"/>
    <s v="No"/>
    <x v="4"/>
    <x v="426"/>
    <x v="426"/>
    <x v="426"/>
    <n v="30732.19"/>
    <n v="45"/>
    <x v="1"/>
    <n v="32.211757291411367"/>
    <s v="Obese"/>
    <s v="Dr. Rahul Nair"/>
  </r>
  <r>
    <s v="PT-1526"/>
    <x v="459"/>
    <n v="46"/>
    <x v="0"/>
    <x v="7"/>
    <s v="B+"/>
    <x v="13"/>
    <n v="168"/>
    <n v="88"/>
    <s v="Yes"/>
    <s v="Yes"/>
    <x v="8"/>
    <x v="427"/>
    <x v="427"/>
    <x v="427"/>
    <n v="40163.629999999997"/>
    <n v="34"/>
    <x v="1"/>
    <n v="31.17913832199547"/>
    <s v="Obese"/>
    <s v="Dr. Vikram Torres"/>
  </r>
  <r>
    <s v="PT-1527"/>
    <x v="460"/>
    <s v="Invalid"/>
    <x v="0"/>
    <x v="12"/>
    <s v="B-"/>
    <x v="5"/>
    <n v="155"/>
    <n v="42"/>
    <s v="Yes"/>
    <s v="Yes"/>
    <x v="0"/>
    <x v="428"/>
    <x v="428"/>
    <x v="428"/>
    <n v="32936.160000000003"/>
    <n v="42"/>
    <x v="4"/>
    <n v="17.481789802289281"/>
    <s v="Underweight"/>
    <s v="Dr. Sunita Sanchez"/>
  </r>
  <r>
    <s v="PT-1528"/>
    <x v="461"/>
    <n v="94"/>
    <x v="0"/>
    <x v="9"/>
    <s v="A+"/>
    <x v="10"/>
    <n v="157"/>
    <n v="92.9"/>
    <s v="No"/>
    <s v="No"/>
    <x v="8"/>
    <x v="236"/>
    <x v="236"/>
    <x v="236"/>
    <n v="21545.06"/>
    <n v="34"/>
    <x v="2"/>
    <n v="37.689155746683433"/>
    <s v="Obese"/>
    <s v="Dr. Vikram Torres"/>
  </r>
  <r>
    <s v="PT-1529"/>
    <x v="462"/>
    <n v="49"/>
    <x v="0"/>
    <x v="14"/>
    <s v="B+"/>
    <x v="6"/>
    <n v="173"/>
    <n v="103"/>
    <s v="No"/>
    <s v="Yes"/>
    <x v="5"/>
    <x v="429"/>
    <x v="429"/>
    <x v="429"/>
    <n v="38253.67"/>
    <n v="37"/>
    <x v="1"/>
    <n v="34.414781649904775"/>
    <s v="Obese"/>
    <s v="Dr. Arvind Chen"/>
  </r>
  <r>
    <s v="PT-1530"/>
    <x v="463"/>
    <n v="62"/>
    <x v="2"/>
    <x v="1"/>
    <s v="B+"/>
    <x v="3"/>
    <n v="194"/>
    <n v="55.2"/>
    <s v="Unknown"/>
    <s v="No"/>
    <x v="3"/>
    <x v="430"/>
    <x v="430"/>
    <x v="430"/>
    <n v="31016.18"/>
    <n v="107"/>
    <x v="2"/>
    <n v="14.666808374960146"/>
    <s v="Underweight"/>
    <s v="Dr. Vikram Wang"/>
  </r>
  <r>
    <s v="PT-1531"/>
    <x v="464"/>
    <n v="40"/>
    <x v="1"/>
    <x v="9"/>
    <s v="O+"/>
    <x v="18"/>
    <n v="182"/>
    <n v="64"/>
    <s v="Yes"/>
    <s v="No"/>
    <x v="1"/>
    <x v="431"/>
    <x v="431"/>
    <x v="431"/>
    <n v="47994.03"/>
    <n v="1"/>
    <x v="1"/>
    <n v="19.321338002656681"/>
    <s v="Normal"/>
    <s v="Dr. Arvind Wilson"/>
  </r>
  <r>
    <s v="PT-1532"/>
    <x v="465"/>
    <n v="10"/>
    <x v="0"/>
    <x v="3"/>
    <s v="A+"/>
    <x v="14"/>
    <n v="172"/>
    <n v="127"/>
    <s v="No"/>
    <s v="No"/>
    <x v="3"/>
    <x v="432"/>
    <x v="432"/>
    <x v="432"/>
    <n v="7423.34"/>
    <n v="107"/>
    <x v="0"/>
    <n v="42.928610059491625"/>
    <s v="Obese"/>
    <s v="Dr. Vikram Wang"/>
  </r>
  <r>
    <s v="PT-1534"/>
    <x v="466"/>
    <n v="2"/>
    <x v="1"/>
    <x v="14"/>
    <s v="O-"/>
    <x v="18"/>
    <n v="169"/>
    <n v="57"/>
    <s v="Yes"/>
    <s v="No"/>
    <x v="10"/>
    <x v="433"/>
    <x v="433"/>
    <x v="433"/>
    <n v="31436.15"/>
    <n v="83"/>
    <x v="0"/>
    <n v="19.957284408809219"/>
    <s v="Normal"/>
    <s v="Dr. Anita Sanchez"/>
  </r>
  <r>
    <s v="PT-1535"/>
    <x v="467"/>
    <n v="36"/>
    <x v="0"/>
    <x v="14"/>
    <s v="B+"/>
    <x v="3"/>
    <n v="147"/>
    <n v="98"/>
    <s v="No"/>
    <s v="No"/>
    <x v="3"/>
    <x v="434"/>
    <x v="434"/>
    <x v="434"/>
    <n v="11213.85"/>
    <n v="107"/>
    <x v="1"/>
    <n v="45.3514739229025"/>
    <s v="Obese"/>
    <s v="Dr. Vikram Wang"/>
  </r>
  <r>
    <s v="PT-1536"/>
    <x v="468"/>
    <n v="74"/>
    <x v="0"/>
    <x v="11"/>
    <s v="A+"/>
    <x v="15"/>
    <n v="150"/>
    <n v="40"/>
    <s v="No"/>
    <s v="No"/>
    <x v="7"/>
    <x v="435"/>
    <x v="435"/>
    <x v="435"/>
    <n v="8658.51"/>
    <n v="35"/>
    <x v="2"/>
    <n v="17.777777777777779"/>
    <s v="Underweight"/>
    <s v="Dr. Meera Torres"/>
  </r>
  <r>
    <s v="PT-1537"/>
    <x v="469"/>
    <n v="86"/>
    <x v="1"/>
    <x v="9"/>
    <s v="B+"/>
    <x v="5"/>
    <n v="156"/>
    <n v="74.7"/>
    <s v="No"/>
    <s v="Yes"/>
    <x v="8"/>
    <x v="436"/>
    <x v="436"/>
    <x v="436"/>
    <n v="26768.93"/>
    <n v="34"/>
    <x v="2"/>
    <n v="30.695266272189347"/>
    <s v="Obese"/>
    <s v="Dr. Vikram Torres"/>
  </r>
  <r>
    <s v="PT-1538"/>
    <x v="470"/>
    <n v="72"/>
    <x v="1"/>
    <x v="13"/>
    <s v="A+"/>
    <x v="9"/>
    <n v="176"/>
    <n v="118"/>
    <s v="Unknown"/>
    <s v="No"/>
    <x v="0"/>
    <x v="97"/>
    <x v="97"/>
    <x v="97"/>
    <n v="31040.22"/>
    <n v="42"/>
    <x v="2"/>
    <n v="38.094008264462808"/>
    <s v="Obese"/>
    <s v="Dr. Sunita Sanchez"/>
  </r>
  <r>
    <s v="PT-1539"/>
    <x v="471"/>
    <n v="26"/>
    <x v="1"/>
    <x v="2"/>
    <s v="Ab+"/>
    <x v="4"/>
    <n v="168.7"/>
    <n v="85"/>
    <s v="Unknown"/>
    <s v="Yes"/>
    <x v="3"/>
    <x v="437"/>
    <x v="437"/>
    <x v="437"/>
    <n v="0"/>
    <n v="107"/>
    <x v="1"/>
    <n v="29.866804592741531"/>
    <s v="Overweight"/>
    <s v="Dr. Vikram Wang"/>
  </r>
  <r>
    <s v="PT-1540"/>
    <x v="472"/>
    <n v="92"/>
    <x v="1"/>
    <x v="6"/>
    <s v="Ab-"/>
    <x v="5"/>
    <n v="147"/>
    <s v="Invalid"/>
    <s v="Yes"/>
    <s v="No"/>
    <x v="7"/>
    <x v="438"/>
    <x v="438"/>
    <x v="438"/>
    <n v="36941.71"/>
    <n v="35"/>
    <x v="2"/>
    <s v="Unknown"/>
    <s v="Unknown"/>
    <s v="Dr. Meera Torr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partment" colHeaderCaption="Gender">
  <location ref="D2:H16" firstHeaderRow="1" firstDataRow="2" firstDataCol="1"/>
  <pivotFields count="23">
    <pivotField showAll="0"/>
    <pivotField showAll="0"/>
    <pivotField showAll="0"/>
    <pivotField axis="axisCol" dataField="1" showAll="0">
      <items count="4">
        <item x="1"/>
        <item x="0"/>
        <item x="2"/>
        <item t="default"/>
      </items>
    </pivotField>
    <pivotField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axis="axisRow"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Count of Gender" fld="3" subtotal="count" baseField="0" baseItem="0"/>
  </dataFields>
  <formats count="5">
    <format dxfId="264">
      <pivotArea outline="0" collapsedLevelsAreSubtotals="1" fieldPosition="0"/>
    </format>
    <format dxfId="265">
      <pivotArea field="3" type="button" dataOnly="0" labelOnly="1" outline="0" axis="axisCol" fieldPosition="0"/>
    </format>
    <format dxfId="266">
      <pivotArea type="topRight" dataOnly="0" labelOnly="1" outline="0" fieldPosition="0"/>
    </format>
    <format dxfId="267">
      <pivotArea dataOnly="0" labelOnly="1" fieldPosition="0">
        <references count="1">
          <reference field="3" count="0"/>
        </references>
      </pivotArea>
    </format>
    <format dxfId="268">
      <pivotArea dataOnly="0" labelOnly="1" grandCol="1" outline="0" fieldPosition="0"/>
    </format>
  </formats>
  <chartFormats count="3">
    <chartFormat chart="4" format="21" series="1">
      <pivotArea type="data" outline="0" fieldPosition="0">
        <references count="2">
          <reference field="4294967294" count="1" selected="0">
            <x v="0"/>
          </reference>
          <reference field="3" count="1" selected="0">
            <x v="0"/>
          </reference>
        </references>
      </pivotArea>
    </chartFormat>
    <chartFormat chart="4" format="22" series="1">
      <pivotArea type="data" outline="0" fieldPosition="0">
        <references count="2">
          <reference field="4294967294" count="1" selected="0">
            <x v="0"/>
          </reference>
          <reference field="3" count="1" selected="0">
            <x v="1"/>
          </reference>
        </references>
      </pivotArea>
    </chartFormat>
    <chartFormat chart="4" format="23"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O11:P17" firstHeaderRow="1" firstDataRow="1" firstDataCol="1"/>
  <pivotFields count="23">
    <pivotField showAll="0"/>
    <pivotField axis="axisRow" showAll="0" measureFilter="1" sortType="descending">
      <items count="474">
        <item x="157"/>
        <item x="31"/>
        <item x="54"/>
        <item x="10"/>
        <item x="59"/>
        <item x="297"/>
        <item x="415"/>
        <item x="302"/>
        <item x="362"/>
        <item x="33"/>
        <item x="173"/>
        <item x="360"/>
        <item x="332"/>
        <item x="264"/>
        <item x="42"/>
        <item x="2"/>
        <item x="231"/>
        <item x="46"/>
        <item x="251"/>
        <item x="453"/>
        <item x="84"/>
        <item x="330"/>
        <item x="254"/>
        <item x="80"/>
        <item x="135"/>
        <item x="153"/>
        <item x="121"/>
        <item x="183"/>
        <item x="403"/>
        <item x="381"/>
        <item x="43"/>
        <item x="240"/>
        <item x="285"/>
        <item x="119"/>
        <item x="268"/>
        <item x="299"/>
        <item x="372"/>
        <item x="430"/>
        <item x="361"/>
        <item x="114"/>
        <item x="192"/>
        <item x="464"/>
        <item x="313"/>
        <item x="160"/>
        <item x="141"/>
        <item x="174"/>
        <item x="452"/>
        <item x="467"/>
        <item x="351"/>
        <item x="96"/>
        <item x="281"/>
        <item x="27"/>
        <item x="122"/>
        <item x="132"/>
        <item x="335"/>
        <item x="393"/>
        <item x="418"/>
        <item x="265"/>
        <item x="410"/>
        <item x="213"/>
        <item x="377"/>
        <item x="458"/>
        <item x="94"/>
        <item x="69"/>
        <item x="123"/>
        <item x="170"/>
        <item x="180"/>
        <item x="36"/>
        <item x="333"/>
        <item x="179"/>
        <item x="30"/>
        <item x="272"/>
        <item x="284"/>
        <item x="115"/>
        <item x="282"/>
        <item x="395"/>
        <item x="276"/>
        <item x="74"/>
        <item x="21"/>
        <item x="82"/>
        <item x="405"/>
        <item x="63"/>
        <item x="64"/>
        <item x="470"/>
        <item x="28"/>
        <item x="472"/>
        <item x="288"/>
        <item x="204"/>
        <item x="347"/>
        <item x="429"/>
        <item x="355"/>
        <item x="172"/>
        <item x="25"/>
        <item x="136"/>
        <item x="257"/>
        <item x="97"/>
        <item x="435"/>
        <item x="194"/>
        <item x="280"/>
        <item x="256"/>
        <item x="226"/>
        <item x="423"/>
        <item x="0"/>
        <item x="460"/>
        <item x="151"/>
        <item x="197"/>
        <item x="130"/>
        <item x="57"/>
        <item x="248"/>
        <item x="275"/>
        <item x="367"/>
        <item x="18"/>
        <item x="138"/>
        <item x="227"/>
        <item x="413"/>
        <item x="98"/>
        <item x="354"/>
        <item x="290"/>
        <item x="175"/>
        <item x="167"/>
        <item x="218"/>
        <item x="270"/>
        <item x="465"/>
        <item x="91"/>
        <item x="236"/>
        <item x="48"/>
        <item x="8"/>
        <item x="440"/>
        <item x="339"/>
        <item x="312"/>
        <item x="212"/>
        <item x="76"/>
        <item x="417"/>
        <item x="283"/>
        <item x="37"/>
        <item x="318"/>
        <item x="106"/>
        <item x="468"/>
        <item x="50"/>
        <item x="11"/>
        <item x="408"/>
        <item x="81"/>
        <item x="412"/>
        <item x="269"/>
        <item x="52"/>
        <item x="68"/>
        <item x="72"/>
        <item x="239"/>
        <item x="110"/>
        <item x="103"/>
        <item x="291"/>
        <item x="71"/>
        <item x="471"/>
        <item x="414"/>
        <item x="66"/>
        <item x="155"/>
        <item x="206"/>
        <item x="101"/>
        <item x="242"/>
        <item x="385"/>
        <item x="83"/>
        <item x="100"/>
        <item x="445"/>
        <item x="177"/>
        <item x="38"/>
        <item x="448"/>
        <item x="62"/>
        <item x="271"/>
        <item x="416"/>
        <item x="217"/>
        <item x="262"/>
        <item x="380"/>
        <item x="308"/>
        <item x="243"/>
        <item x="447"/>
        <item x="406"/>
        <item x="26"/>
        <item x="143"/>
        <item x="363"/>
        <item x="129"/>
        <item x="211"/>
        <item x="113"/>
        <item x="198"/>
        <item x="348"/>
        <item x="79"/>
        <item x="267"/>
        <item x="16"/>
        <item x="144"/>
        <item x="166"/>
        <item x="107"/>
        <item x="235"/>
        <item x="310"/>
        <item x="75"/>
        <item x="233"/>
        <item x="125"/>
        <item x="161"/>
        <item x="384"/>
        <item x="89"/>
        <item x="342"/>
        <item x="259"/>
        <item x="163"/>
        <item x="409"/>
        <item x="70"/>
        <item x="176"/>
        <item x="208"/>
        <item x="466"/>
        <item x="61"/>
        <item x="209"/>
        <item x="102"/>
        <item x="196"/>
        <item x="142"/>
        <item x="35"/>
        <item x="214"/>
        <item x="449"/>
        <item x="193"/>
        <item x="191"/>
        <item x="396"/>
        <item x="109"/>
        <item x="343"/>
        <item x="222"/>
        <item x="428"/>
        <item x="230"/>
        <item x="301"/>
        <item x="104"/>
        <item x="24"/>
        <item x="39"/>
        <item x="216"/>
        <item x="382"/>
        <item x="112"/>
        <item x="6"/>
        <item x="437"/>
        <item x="56"/>
        <item x="14"/>
        <item x="253"/>
        <item x="353"/>
        <item x="334"/>
        <item x="340"/>
        <item x="387"/>
        <item x="345"/>
        <item x="315"/>
        <item x="158"/>
        <item x="298"/>
        <item x="365"/>
        <item x="118"/>
        <item x="4"/>
        <item x="420"/>
        <item x="40"/>
        <item x="371"/>
        <item x="159"/>
        <item x="441"/>
        <item x="378"/>
        <item x="258"/>
        <item x="146"/>
        <item x="90"/>
        <item x="88"/>
        <item x="434"/>
        <item x="324"/>
        <item x="67"/>
        <item x="210"/>
        <item x="5"/>
        <item x="274"/>
        <item x="3"/>
        <item x="45"/>
        <item x="296"/>
        <item x="399"/>
        <item x="92"/>
        <item x="137"/>
        <item x="12"/>
        <item x="252"/>
        <item x="149"/>
        <item x="379"/>
        <item x="20"/>
        <item x="388"/>
        <item x="47"/>
        <item x="108"/>
        <item x="7"/>
        <item x="383"/>
        <item x="145"/>
        <item x="352"/>
        <item x="439"/>
        <item x="171"/>
        <item x="17"/>
        <item x="221"/>
        <item x="329"/>
        <item x="249"/>
        <item x="219"/>
        <item x="306"/>
        <item x="60"/>
        <item x="338"/>
        <item x="156"/>
        <item x="373"/>
        <item x="188"/>
        <item x="128"/>
        <item x="341"/>
        <item x="199"/>
        <item x="255"/>
        <item x="426"/>
        <item x="402"/>
        <item x="184"/>
        <item x="446"/>
        <item x="300"/>
        <item x="292"/>
        <item x="181"/>
        <item x="444"/>
        <item x="419"/>
        <item x="278"/>
        <item x="337"/>
        <item x="87"/>
        <item x="34"/>
        <item x="105"/>
        <item x="207"/>
        <item x="331"/>
        <item x="13"/>
        <item x="55"/>
        <item x="316"/>
        <item x="19"/>
        <item x="189"/>
        <item x="401"/>
        <item x="78"/>
        <item x="200"/>
        <item x="164"/>
        <item x="407"/>
        <item x="456"/>
        <item x="431"/>
        <item x="241"/>
        <item x="368"/>
        <item x="421"/>
        <item x="53"/>
        <item x="32"/>
        <item x="244"/>
        <item x="286"/>
        <item x="287"/>
        <item x="120"/>
        <item x="432"/>
        <item x="127"/>
        <item x="133"/>
        <item x="293"/>
        <item x="433"/>
        <item x="139"/>
        <item x="327"/>
        <item x="228"/>
        <item x="289"/>
        <item x="390"/>
        <item x="450"/>
        <item x="436"/>
        <item x="162"/>
        <item x="319"/>
        <item x="263"/>
        <item x="277"/>
        <item x="134"/>
        <item x="202"/>
        <item x="203"/>
        <item x="9"/>
        <item x="168"/>
        <item x="451"/>
        <item x="462"/>
        <item x="422"/>
        <item x="326"/>
        <item x="131"/>
        <item x="350"/>
        <item x="86"/>
        <item x="186"/>
        <item x="250"/>
        <item x="346"/>
        <item x="111"/>
        <item x="245"/>
        <item x="85"/>
        <item x="223"/>
        <item x="224"/>
        <item x="394"/>
        <item x="369"/>
        <item x="357"/>
        <item x="238"/>
        <item x="246"/>
        <item x="305"/>
        <item x="117"/>
        <item x="370"/>
        <item x="29"/>
        <item x="215"/>
        <item x="126"/>
        <item x="1"/>
        <item x="152"/>
        <item x="411"/>
        <item x="389"/>
        <item x="165"/>
        <item x="147"/>
        <item x="398"/>
        <item x="314"/>
        <item x="349"/>
        <item x="261"/>
        <item x="303"/>
        <item x="404"/>
        <item x="461"/>
        <item x="169"/>
        <item x="307"/>
        <item x="232"/>
        <item x="322"/>
        <item x="359"/>
        <item x="124"/>
        <item x="304"/>
        <item x="205"/>
        <item x="185"/>
        <item x="234"/>
        <item x="140"/>
        <item x="77"/>
        <item x="392"/>
        <item x="374"/>
        <item x="317"/>
        <item x="187"/>
        <item x="150"/>
        <item x="386"/>
        <item x="323"/>
        <item x="93"/>
        <item x="400"/>
        <item x="116"/>
        <item x="366"/>
        <item x="356"/>
        <item x="457"/>
        <item x="247"/>
        <item x="190"/>
        <item x="23"/>
        <item x="225"/>
        <item x="273"/>
        <item x="51"/>
        <item x="294"/>
        <item x="201"/>
        <item x="424"/>
        <item x="454"/>
        <item x="65"/>
        <item x="295"/>
        <item x="49"/>
        <item x="376"/>
        <item x="321"/>
        <item x="178"/>
        <item x="427"/>
        <item x="95"/>
        <item x="336"/>
        <item x="148"/>
        <item x="469"/>
        <item x="397"/>
        <item x="328"/>
        <item x="375"/>
        <item x="44"/>
        <item x="391"/>
        <item x="325"/>
        <item x="260"/>
        <item x="311"/>
        <item x="438"/>
        <item x="463"/>
        <item x="459"/>
        <item x="58"/>
        <item x="154"/>
        <item x="266"/>
        <item x="358"/>
        <item x="22"/>
        <item x="229"/>
        <item x="455"/>
        <item x="279"/>
        <item x="425"/>
        <item x="364"/>
        <item x="195"/>
        <item x="41"/>
        <item x="99"/>
        <item x="344"/>
        <item x="443"/>
        <item x="442"/>
        <item x="320"/>
        <item x="182"/>
        <item x="220"/>
        <item x="309"/>
        <item x="237"/>
        <item x="15"/>
        <item x="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dataField="1" showAll="0"/>
    <pivotField showAll="0"/>
    <pivotField showAll="0"/>
    <pivotField showAll="0"/>
    <pivotField showAll="0"/>
    <pivotField showAll="0"/>
    <pivotField showAll="0" defaultSubtotal="0"/>
    <pivotField showAll="0" defaultSubtotal="0"/>
  </pivotFields>
  <rowFields count="1">
    <field x="1"/>
  </rowFields>
  <rowItems count="6">
    <i>
      <x v="429"/>
    </i>
    <i>
      <x v="373"/>
    </i>
    <i>
      <x v="433"/>
    </i>
    <i>
      <x v="138"/>
    </i>
    <i>
      <x v="187"/>
    </i>
    <i t="grand">
      <x/>
    </i>
  </rowItems>
  <colItems count="1">
    <i/>
  </colItems>
  <dataFields count="1">
    <dataField name="Sum of Bill_Amount" fld="15" baseField="1" baseItem="429"/>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Age Group">
  <location ref="O2:Q8" firstHeaderRow="0" firstDataRow="1" firstDataCol="1"/>
  <pivotFields count="23">
    <pivotField dataField="1" showAll="0"/>
    <pivotField showAll="0"/>
    <pivotField showAll="0"/>
    <pivotField showAll="0"/>
    <pivotField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showAll="0"/>
    <pivotField showAll="0"/>
    <pivotField axis="axisRow" showAll="0">
      <items count="6">
        <item x="1"/>
        <item x="0"/>
        <item x="2"/>
        <item x="4"/>
        <item x="3"/>
        <item t="default"/>
      </items>
    </pivotField>
    <pivotField showAll="0"/>
    <pivotField showAll="0"/>
    <pivotField showAll="0"/>
    <pivotField showAll="0" defaultSubtotal="0"/>
    <pivotField showAll="0" defaultSubtotal="0"/>
  </pivotFields>
  <rowFields count="1">
    <field x="17"/>
  </rowFields>
  <rowItems count="6">
    <i>
      <x/>
    </i>
    <i>
      <x v="1"/>
    </i>
    <i>
      <x v="2"/>
    </i>
    <i>
      <x v="3"/>
    </i>
    <i>
      <x v="4"/>
    </i>
    <i t="grand">
      <x/>
    </i>
  </rowItems>
  <colFields count="1">
    <field x="-2"/>
  </colFields>
  <colItems count="2">
    <i>
      <x/>
    </i>
    <i i="1">
      <x v="1"/>
    </i>
  </colItems>
  <dataFields count="2">
    <dataField name="Count of Patient_ID2" fld="0" subtotal="count" baseField="0" baseItem="0"/>
    <dataField name="Percent of Patient_ID" fld="0" subtotal="count" showDataAs="percentOfTotal" baseField="17" baseItem="0" numFmtId="1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77" series="1">
      <pivotArea type="data" outline="0" fieldPosition="0">
        <references count="1">
          <reference field="4294967294" count="1" selected="0">
            <x v="0"/>
          </reference>
        </references>
      </pivotArea>
    </chartFormat>
    <chartFormat chart="4" format="7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City" colHeaderCaption="Year">
  <location ref="O20:S39" firstHeaderRow="1" firstDataRow="3" firstDataCol="1"/>
  <pivotFields count="23">
    <pivotField showAll="0"/>
    <pivotField showAll="0"/>
    <pivotField showAll="0"/>
    <pivotField showAll="0"/>
    <pivotField axis="axisRow" showAll="0">
      <items count="17">
        <item x="5"/>
        <item x="1"/>
        <item x="3"/>
        <item x="10"/>
        <item x="2"/>
        <item x="12"/>
        <item x="0"/>
        <item x="8"/>
        <item x="4"/>
        <item x="15"/>
        <item x="13"/>
        <item x="9"/>
        <item x="14"/>
        <item x="7"/>
        <item x="6"/>
        <item x="11"/>
        <item t="default"/>
      </items>
    </pivotField>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axis="axisCol" numFmtId="164" showAll="0">
      <items count="15">
        <item x="0"/>
        <item x="1"/>
        <item x="2"/>
        <item x="3"/>
        <item x="4"/>
        <item x="5"/>
        <item x="6"/>
        <item x="7"/>
        <item x="8"/>
        <item x="9"/>
        <item x="10"/>
        <item x="11"/>
        <item x="12"/>
        <item x="13"/>
        <item t="default"/>
      </items>
    </pivotField>
    <pivotField numFmtId="165" showAll="0"/>
    <pivotField dataField="1" showAll="0"/>
    <pivotField showAll="0"/>
    <pivotField showAll="0"/>
    <pivotField showAll="0"/>
    <pivotField showAll="0"/>
    <pivotField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4"/>
  </rowFields>
  <rowItems count="17">
    <i>
      <x/>
    </i>
    <i>
      <x v="1"/>
    </i>
    <i>
      <x v="2"/>
    </i>
    <i>
      <x v="3"/>
    </i>
    <i>
      <x v="4"/>
    </i>
    <i>
      <x v="5"/>
    </i>
    <i>
      <x v="6"/>
    </i>
    <i>
      <x v="7"/>
    </i>
    <i>
      <x v="8"/>
    </i>
    <i>
      <x v="9"/>
    </i>
    <i>
      <x v="10"/>
    </i>
    <i>
      <x v="11"/>
    </i>
    <i>
      <x v="12"/>
    </i>
    <i>
      <x v="13"/>
    </i>
    <i>
      <x v="14"/>
    </i>
    <i>
      <x v="15"/>
    </i>
    <i t="grand">
      <x/>
    </i>
  </rowItems>
  <colFields count="2">
    <field x="22"/>
    <field x="13"/>
  </colFields>
  <colItems count="4">
    <i>
      <x v="1"/>
    </i>
    <i>
      <x v="2"/>
    </i>
    <i>
      <x v="3"/>
    </i>
    <i t="grand">
      <x/>
    </i>
  </colItems>
  <dataFields count="1">
    <dataField name="Sum of Bill_Amount" fld="15" baseField="0" baseItem="0"/>
  </dataFields>
  <formats count="9">
    <format dxfId="253">
      <pivotArea outline="0" collapsedLevelsAreSubtotals="1" fieldPosition="0">
        <references count="1">
          <reference field="22" count="1" selected="0">
            <x v="1"/>
          </reference>
        </references>
      </pivotArea>
    </format>
    <format dxfId="254">
      <pivotArea field="22" type="button" dataOnly="0" labelOnly="1" outline="0" axis="axisCol" fieldPosition="0"/>
    </format>
    <format dxfId="255">
      <pivotArea dataOnly="0" labelOnly="1" fieldPosition="0">
        <references count="1">
          <reference field="22" count="1">
            <x v="1"/>
          </reference>
        </references>
      </pivotArea>
    </format>
    <format dxfId="256">
      <pivotArea outline="0" collapsedLevelsAreSubtotals="1" fieldPosition="0">
        <references count="1">
          <reference field="22" count="3" selected="0">
            <x v="1"/>
            <x v="2"/>
            <x v="3"/>
          </reference>
        </references>
      </pivotArea>
    </format>
    <format dxfId="257">
      <pivotArea field="22" type="button" dataOnly="0" labelOnly="1" outline="0" axis="axisCol" fieldPosition="0"/>
    </format>
    <format dxfId="258">
      <pivotArea field="13" type="button" dataOnly="0" labelOnly="1" outline="0" axis="axisCol" fieldPosition="1"/>
    </format>
    <format dxfId="259">
      <pivotArea type="topRight" dataOnly="0" labelOnly="1" outline="0" fieldPosition="0"/>
    </format>
    <format dxfId="260">
      <pivotArea dataOnly="0" labelOnly="1" fieldPosition="0">
        <references count="1">
          <reference field="22" count="3">
            <x v="1"/>
            <x v="2"/>
            <x v="3"/>
          </reference>
        </references>
      </pivotArea>
    </format>
    <format dxfId="261">
      <pivotArea field="4" type="button" dataOnly="0" labelOnly="1" outline="0" axis="axisRow" fieldPosition="0"/>
    </format>
  </formats>
  <chartFormats count="9">
    <chartFormat chart="3" format="3" series="1">
      <pivotArea type="data" outline="0" fieldPosition="0">
        <references count="2">
          <reference field="4294967294" count="1" selected="0">
            <x v="0"/>
          </reference>
          <reference field="22" count="1" selected="0">
            <x v="1"/>
          </reference>
        </references>
      </pivotArea>
    </chartFormat>
    <chartFormat chart="3" format="4" series="1">
      <pivotArea type="data" outline="0" fieldPosition="0">
        <references count="2">
          <reference field="4294967294" count="1" selected="0">
            <x v="0"/>
          </reference>
          <reference field="22" count="1" selected="0">
            <x v="2"/>
          </reference>
        </references>
      </pivotArea>
    </chartFormat>
    <chartFormat chart="3" format="5" series="1">
      <pivotArea type="data" outline="0" fieldPosition="0">
        <references count="2">
          <reference field="4294967294" count="1" selected="0">
            <x v="0"/>
          </reference>
          <reference field="22" count="1" selected="0">
            <x v="3"/>
          </reference>
        </references>
      </pivotArea>
    </chartFormat>
    <chartFormat chart="8" format="6" series="1">
      <pivotArea type="data" outline="0" fieldPosition="0">
        <references count="2">
          <reference field="4294967294" count="1" selected="0">
            <x v="0"/>
          </reference>
          <reference field="22" count="1" selected="0">
            <x v="1"/>
          </reference>
        </references>
      </pivotArea>
    </chartFormat>
    <chartFormat chart="8" format="7" series="1">
      <pivotArea type="data" outline="0" fieldPosition="0">
        <references count="2">
          <reference field="4294967294" count="1" selected="0">
            <x v="0"/>
          </reference>
          <reference field="22" count="1" selected="0">
            <x v="2"/>
          </reference>
        </references>
      </pivotArea>
    </chartFormat>
    <chartFormat chart="8" format="8" series="1">
      <pivotArea type="data" outline="0" fieldPosition="0">
        <references count="2">
          <reference field="4294967294" count="1" selected="0">
            <x v="0"/>
          </reference>
          <reference field="22" count="1" selected="0">
            <x v="3"/>
          </reference>
        </references>
      </pivotArea>
    </chartFormat>
    <chartFormat chart="6" format="27" series="1">
      <pivotArea type="data" outline="0" fieldPosition="0">
        <references count="2">
          <reference field="4294967294" count="1" selected="0">
            <x v="0"/>
          </reference>
          <reference field="22" count="1" selected="0">
            <x v="1"/>
          </reference>
        </references>
      </pivotArea>
    </chartFormat>
    <chartFormat chart="6" format="28" series="1">
      <pivotArea type="data" outline="0" fieldPosition="0">
        <references count="2">
          <reference field="4294967294" count="1" selected="0">
            <x v="0"/>
          </reference>
          <reference field="22" count="1" selected="0">
            <x v="2"/>
          </reference>
        </references>
      </pivotArea>
    </chartFormat>
    <chartFormat chart="6" format="29" series="1">
      <pivotArea type="data" outline="0" fieldPosition="0">
        <references count="2">
          <reference field="4294967294" count="1" selected="0">
            <x v="0"/>
          </reference>
          <reference field="22" count="1" selected="0">
            <x v="3"/>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   Diagnosis">
  <location ref="A2:B13" firstHeaderRow="1" firstDataRow="1" firstDataCol="1"/>
  <pivotFields count="23">
    <pivotField showAll="0"/>
    <pivotField showAll="0"/>
    <pivotField showAll="0"/>
    <pivotField showAll="0"/>
    <pivotField showAll="0">
      <items count="17">
        <item x="5"/>
        <item x="1"/>
        <item x="3"/>
        <item x="10"/>
        <item x="2"/>
        <item x="12"/>
        <item x="0"/>
        <item x="8"/>
        <item x="4"/>
        <item x="15"/>
        <item x="13"/>
        <item x="9"/>
        <item x="14"/>
        <item x="7"/>
        <item x="6"/>
        <item x="11"/>
        <item t="default"/>
      </items>
    </pivotField>
    <pivotField showAll="0"/>
    <pivotField axis="axisRow" showAll="0" measureFilter="1" sortType="descending">
      <items count="21">
        <item x="10"/>
        <item x="19"/>
        <item x="0"/>
        <item x="8"/>
        <item x="16"/>
        <item x="17"/>
        <item x="5"/>
        <item x="3"/>
        <item x="12"/>
        <item x="1"/>
        <item x="4"/>
        <item x="6"/>
        <item x="18"/>
        <item x="13"/>
        <item x="2"/>
        <item x="14"/>
        <item x="9"/>
        <item x="11"/>
        <item x="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items count="15">
        <item x="0"/>
        <item x="1"/>
        <item x="2"/>
        <item x="3"/>
        <item x="4"/>
        <item x="5"/>
        <item x="6"/>
        <item x="7"/>
        <item x="8"/>
        <item x="9"/>
        <item x="10"/>
        <item x="11"/>
        <item x="12"/>
        <item x="13"/>
        <item t="default"/>
      </items>
    </pivotField>
    <pivotField numFmtId="165" showAll="0"/>
    <pivotField dataField="1"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11">
    <i>
      <x v="3"/>
    </i>
    <i>
      <x v="17"/>
    </i>
    <i>
      <x v="11"/>
    </i>
    <i>
      <x/>
    </i>
    <i>
      <x v="2"/>
    </i>
    <i>
      <x v="7"/>
    </i>
    <i>
      <x v="4"/>
    </i>
    <i>
      <x v="16"/>
    </i>
    <i>
      <x v="18"/>
    </i>
    <i>
      <x v="14"/>
    </i>
    <i t="grand">
      <x/>
    </i>
  </rowItems>
  <colItems count="1">
    <i/>
  </colItems>
  <dataFields count="1">
    <dataField name="Average of Bill_Amount" fld="15" subtotal="average" baseField="6" baseItem="3"/>
  </dataFields>
  <formats count="2">
    <format dxfId="262">
      <pivotArea dataOnly="0" labelOnly="1" outline="0" axis="axisValues" fieldPosition="0"/>
    </format>
    <format dxfId="263">
      <pivotArea dataOnly="0" labelOnly="1" outline="0" axis="axisValues" fieldPosition="0"/>
    </format>
  </formats>
  <chartFormats count="1">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   PATIENTS NAME">
  <location ref="L5:M10" firstHeaderRow="1" firstDataRow="1" firstDataCol="1"/>
  <pivotFields count="23">
    <pivotField showAll="0"/>
    <pivotField axis="axisRow" showAll="0" measureFilter="1">
      <items count="474">
        <item x="157"/>
        <item x="31"/>
        <item x="54"/>
        <item x="10"/>
        <item x="59"/>
        <item x="297"/>
        <item x="415"/>
        <item x="302"/>
        <item x="362"/>
        <item x="33"/>
        <item x="173"/>
        <item x="360"/>
        <item x="332"/>
        <item x="264"/>
        <item x="42"/>
        <item x="2"/>
        <item x="231"/>
        <item x="46"/>
        <item x="251"/>
        <item x="453"/>
        <item x="84"/>
        <item x="330"/>
        <item x="254"/>
        <item x="80"/>
        <item x="135"/>
        <item x="153"/>
        <item x="121"/>
        <item x="183"/>
        <item x="403"/>
        <item x="381"/>
        <item x="43"/>
        <item x="240"/>
        <item x="285"/>
        <item x="119"/>
        <item x="268"/>
        <item x="299"/>
        <item x="372"/>
        <item x="430"/>
        <item x="361"/>
        <item x="114"/>
        <item x="192"/>
        <item x="464"/>
        <item x="313"/>
        <item x="160"/>
        <item x="141"/>
        <item x="174"/>
        <item x="452"/>
        <item x="467"/>
        <item x="351"/>
        <item x="96"/>
        <item x="281"/>
        <item x="27"/>
        <item x="122"/>
        <item x="132"/>
        <item x="335"/>
        <item x="393"/>
        <item x="418"/>
        <item x="265"/>
        <item x="410"/>
        <item x="213"/>
        <item x="377"/>
        <item x="458"/>
        <item x="94"/>
        <item x="69"/>
        <item x="123"/>
        <item x="170"/>
        <item x="180"/>
        <item x="36"/>
        <item x="333"/>
        <item x="179"/>
        <item x="30"/>
        <item x="272"/>
        <item x="284"/>
        <item x="115"/>
        <item x="282"/>
        <item x="395"/>
        <item x="276"/>
        <item x="74"/>
        <item x="21"/>
        <item x="82"/>
        <item x="405"/>
        <item x="63"/>
        <item x="64"/>
        <item x="470"/>
        <item x="28"/>
        <item x="472"/>
        <item x="288"/>
        <item x="204"/>
        <item x="347"/>
        <item x="429"/>
        <item x="355"/>
        <item x="172"/>
        <item x="25"/>
        <item x="136"/>
        <item x="257"/>
        <item x="97"/>
        <item x="435"/>
        <item x="194"/>
        <item x="280"/>
        <item x="256"/>
        <item x="226"/>
        <item x="423"/>
        <item x="0"/>
        <item x="460"/>
        <item x="151"/>
        <item x="197"/>
        <item x="130"/>
        <item x="57"/>
        <item x="248"/>
        <item x="275"/>
        <item x="367"/>
        <item x="18"/>
        <item x="138"/>
        <item x="227"/>
        <item x="413"/>
        <item x="98"/>
        <item x="354"/>
        <item x="290"/>
        <item x="175"/>
        <item x="167"/>
        <item x="218"/>
        <item x="270"/>
        <item x="465"/>
        <item x="91"/>
        <item x="236"/>
        <item x="48"/>
        <item x="8"/>
        <item x="440"/>
        <item x="339"/>
        <item x="312"/>
        <item x="212"/>
        <item x="76"/>
        <item x="417"/>
        <item x="283"/>
        <item x="37"/>
        <item x="318"/>
        <item x="106"/>
        <item x="468"/>
        <item x="166"/>
        <item x="107"/>
        <item x="235"/>
        <item x="310"/>
        <item x="75"/>
        <item x="233"/>
        <item x="125"/>
        <item x="161"/>
        <item x="384"/>
        <item x="89"/>
        <item x="342"/>
        <item x="259"/>
        <item x="163"/>
        <item x="409"/>
        <item x="70"/>
        <item x="176"/>
        <item x="208"/>
        <item x="466"/>
        <item x="61"/>
        <item x="209"/>
        <item x="102"/>
        <item x="196"/>
        <item x="142"/>
        <item x="35"/>
        <item x="214"/>
        <item x="449"/>
        <item x="193"/>
        <item x="191"/>
        <item x="396"/>
        <item x="109"/>
        <item x="343"/>
        <item x="222"/>
        <item x="428"/>
        <item x="230"/>
        <item x="301"/>
        <item x="104"/>
        <item x="24"/>
        <item x="39"/>
        <item x="216"/>
        <item x="382"/>
        <item x="112"/>
        <item x="6"/>
        <item x="437"/>
        <item x="56"/>
        <item x="14"/>
        <item x="253"/>
        <item x="353"/>
        <item x="334"/>
        <item x="340"/>
        <item x="387"/>
        <item x="345"/>
        <item x="315"/>
        <item x="158"/>
        <item x="298"/>
        <item x="365"/>
        <item x="118"/>
        <item x="4"/>
        <item x="420"/>
        <item x="40"/>
        <item x="371"/>
        <item x="159"/>
        <item x="441"/>
        <item x="378"/>
        <item x="258"/>
        <item x="146"/>
        <item x="90"/>
        <item x="88"/>
        <item x="434"/>
        <item x="324"/>
        <item x="67"/>
        <item x="210"/>
        <item x="5"/>
        <item x="274"/>
        <item x="3"/>
        <item x="45"/>
        <item x="296"/>
        <item x="399"/>
        <item x="92"/>
        <item x="137"/>
        <item x="12"/>
        <item x="252"/>
        <item x="149"/>
        <item x="379"/>
        <item x="20"/>
        <item x="388"/>
        <item x="47"/>
        <item x="108"/>
        <item x="7"/>
        <item x="383"/>
        <item x="145"/>
        <item x="352"/>
        <item x="439"/>
        <item x="171"/>
        <item x="17"/>
        <item x="221"/>
        <item x="329"/>
        <item x="249"/>
        <item x="219"/>
        <item x="306"/>
        <item x="60"/>
        <item x="338"/>
        <item x="156"/>
        <item x="373"/>
        <item x="188"/>
        <item x="128"/>
        <item x="341"/>
        <item x="199"/>
        <item x="255"/>
        <item x="426"/>
        <item x="402"/>
        <item x="184"/>
        <item x="446"/>
        <item x="300"/>
        <item x="292"/>
        <item x="181"/>
        <item x="444"/>
        <item x="419"/>
        <item x="278"/>
        <item x="337"/>
        <item x="87"/>
        <item x="34"/>
        <item x="105"/>
        <item x="207"/>
        <item x="331"/>
        <item x="13"/>
        <item x="55"/>
        <item x="316"/>
        <item x="19"/>
        <item x="189"/>
        <item x="401"/>
        <item x="78"/>
        <item x="200"/>
        <item x="164"/>
        <item x="407"/>
        <item x="456"/>
        <item x="431"/>
        <item x="241"/>
        <item x="368"/>
        <item x="421"/>
        <item x="53"/>
        <item x="32"/>
        <item x="244"/>
        <item x="286"/>
        <item x="287"/>
        <item x="120"/>
        <item x="432"/>
        <item x="127"/>
        <item x="133"/>
        <item x="293"/>
        <item x="433"/>
        <item x="139"/>
        <item x="327"/>
        <item x="228"/>
        <item x="289"/>
        <item x="390"/>
        <item x="450"/>
        <item x="436"/>
        <item x="162"/>
        <item x="319"/>
        <item x="263"/>
        <item x="277"/>
        <item x="134"/>
        <item x="202"/>
        <item x="203"/>
        <item x="9"/>
        <item x="168"/>
        <item x="451"/>
        <item x="462"/>
        <item x="422"/>
        <item x="326"/>
        <item x="131"/>
        <item x="350"/>
        <item x="86"/>
        <item x="186"/>
        <item x="250"/>
        <item x="346"/>
        <item x="111"/>
        <item x="245"/>
        <item x="85"/>
        <item x="223"/>
        <item x="224"/>
        <item x="394"/>
        <item x="369"/>
        <item x="357"/>
        <item x="238"/>
        <item x="50"/>
        <item x="11"/>
        <item x="408"/>
        <item x="81"/>
        <item x="412"/>
        <item x="269"/>
        <item x="52"/>
        <item x="68"/>
        <item x="72"/>
        <item x="239"/>
        <item x="110"/>
        <item x="103"/>
        <item x="291"/>
        <item x="71"/>
        <item x="471"/>
        <item x="414"/>
        <item x="66"/>
        <item x="155"/>
        <item x="206"/>
        <item x="101"/>
        <item x="242"/>
        <item x="385"/>
        <item x="83"/>
        <item x="100"/>
        <item x="445"/>
        <item x="177"/>
        <item x="38"/>
        <item x="448"/>
        <item x="62"/>
        <item x="271"/>
        <item x="416"/>
        <item x="217"/>
        <item x="262"/>
        <item x="380"/>
        <item x="308"/>
        <item x="243"/>
        <item x="447"/>
        <item x="406"/>
        <item x="26"/>
        <item x="143"/>
        <item x="363"/>
        <item x="129"/>
        <item x="211"/>
        <item x="113"/>
        <item x="198"/>
        <item x="348"/>
        <item x="79"/>
        <item x="267"/>
        <item x="16"/>
        <item x="144"/>
        <item x="246"/>
        <item x="305"/>
        <item x="117"/>
        <item x="370"/>
        <item x="29"/>
        <item x="215"/>
        <item x="126"/>
        <item x="1"/>
        <item x="152"/>
        <item x="411"/>
        <item x="389"/>
        <item x="165"/>
        <item x="147"/>
        <item x="398"/>
        <item x="314"/>
        <item x="349"/>
        <item x="261"/>
        <item x="303"/>
        <item x="404"/>
        <item x="461"/>
        <item x="169"/>
        <item x="307"/>
        <item x="232"/>
        <item x="322"/>
        <item x="359"/>
        <item x="124"/>
        <item x="304"/>
        <item x="205"/>
        <item x="185"/>
        <item x="234"/>
        <item x="140"/>
        <item x="77"/>
        <item x="392"/>
        <item x="374"/>
        <item x="317"/>
        <item x="187"/>
        <item x="150"/>
        <item x="386"/>
        <item x="323"/>
        <item x="93"/>
        <item x="400"/>
        <item x="116"/>
        <item x="366"/>
        <item x="356"/>
        <item x="457"/>
        <item x="247"/>
        <item x="190"/>
        <item x="23"/>
        <item x="225"/>
        <item x="273"/>
        <item x="51"/>
        <item x="294"/>
        <item x="201"/>
        <item x="424"/>
        <item x="454"/>
        <item x="65"/>
        <item x="295"/>
        <item x="49"/>
        <item x="376"/>
        <item x="321"/>
        <item x="178"/>
        <item x="427"/>
        <item x="95"/>
        <item x="336"/>
        <item x="148"/>
        <item x="469"/>
        <item x="397"/>
        <item x="328"/>
        <item x="375"/>
        <item x="44"/>
        <item x="391"/>
        <item x="325"/>
        <item x="260"/>
        <item x="311"/>
        <item x="438"/>
        <item x="463"/>
        <item x="459"/>
        <item x="58"/>
        <item x="154"/>
        <item x="266"/>
        <item x="358"/>
        <item x="22"/>
        <item x="229"/>
        <item x="455"/>
        <item x="279"/>
        <item x="425"/>
        <item x="364"/>
        <item x="195"/>
        <item x="41"/>
        <item x="99"/>
        <item x="344"/>
        <item x="443"/>
        <item x="442"/>
        <item x="320"/>
        <item x="182"/>
        <item x="220"/>
        <item x="309"/>
        <item x="237"/>
        <item x="15"/>
        <item x="73"/>
        <item t="default"/>
      </items>
    </pivotField>
    <pivotField showAll="0"/>
    <pivotField showAll="0"/>
    <pivotField showAll="0"/>
    <pivotField showAll="0"/>
    <pivotField showAll="0"/>
    <pivotField showAll="0"/>
    <pivotField showAll="0"/>
    <pivotField showAll="0"/>
    <pivotField showAll="0"/>
    <pivotField showAll="0">
      <items count="13">
        <item x="3"/>
        <item x="2"/>
        <item x="4"/>
        <item x="6"/>
        <item x="0"/>
        <item x="1"/>
        <item x="7"/>
        <item x="9"/>
        <item x="11"/>
        <item x="10"/>
        <item x="5"/>
        <item x="8"/>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pivotField dataField="1" showAll="0"/>
    <pivotField showAll="0"/>
    <pivotField showAll="0"/>
    <pivotField showAll="0"/>
    <pivotField showAll="0"/>
    <pivotField showAll="0"/>
    <pivotField showAll="0" defaultSubtotal="0"/>
    <pivotField showAll="0" defaultSubtotal="0"/>
  </pivotFields>
  <rowFields count="1">
    <field x="1"/>
  </rowFields>
  <rowItems count="5">
    <i>
      <x v="323"/>
    </i>
    <i>
      <x v="372"/>
    </i>
    <i>
      <x v="373"/>
    </i>
    <i>
      <x v="429"/>
    </i>
    <i>
      <x v="433"/>
    </i>
  </rowItems>
  <colItems count="1">
    <i/>
  </colItems>
  <dataFields count="1">
    <dataField name="SUM OF BILL" fld="15" baseField="1" baseItem="429" numFmtId="166"/>
  </dataFields>
  <formats count="126">
    <format dxfId="269">
      <pivotArea type="all" dataOnly="0" outline="0" fieldPosition="0"/>
    </format>
    <format dxfId="270">
      <pivotArea outline="0" collapsedLevelsAreSubtotals="1" fieldPosition="0"/>
    </format>
    <format dxfId="271">
      <pivotArea field="1" type="button" dataOnly="0" labelOnly="1" outline="0" axis="axisRow" fieldPosition="0"/>
    </format>
    <format dxfId="272">
      <pivotArea dataOnly="0" labelOnly="1" outline="0" axis="axisValues" fieldPosition="0"/>
    </format>
    <format dxfId="273">
      <pivotArea dataOnly="0" labelOnly="1" fieldPosition="0">
        <references count="1">
          <reference field="1" count="5">
            <x v="323"/>
            <x v="372"/>
            <x v="373"/>
            <x v="429"/>
            <x v="433"/>
          </reference>
        </references>
      </pivotArea>
    </format>
    <format dxfId="274">
      <pivotArea dataOnly="0" labelOnly="1" grandRow="1" outline="0" fieldPosition="0"/>
    </format>
    <format dxfId="275">
      <pivotArea dataOnly="0" labelOnly="1" outline="0" axis="axisValues" fieldPosition="0"/>
    </format>
    <format dxfId="276">
      <pivotArea dataOnly="0" labelOnly="1" outline="0" axis="axisValues" fieldPosition="0"/>
    </format>
    <format dxfId="277">
      <pivotArea dataOnly="0" labelOnly="1" outline="0" axis="axisValues" fieldPosition="0"/>
    </format>
    <format dxfId="278">
      <pivotArea outline="0" collapsedLevelsAreSubtotals="1" fieldPosition="0"/>
    </format>
    <format dxfId="279">
      <pivotArea dataOnly="0" labelOnly="1" outline="0" axis="axisValues" fieldPosition="0"/>
    </format>
    <format dxfId="280">
      <pivotArea dataOnly="0" labelOnly="1" outline="0" axis="axisValues" fieldPosition="0"/>
    </format>
    <format dxfId="281">
      <pivotArea field="1" type="button" dataOnly="0" labelOnly="1" outline="0" axis="axisRow" fieldPosition="0"/>
    </format>
    <format dxfId="282">
      <pivotArea dataOnly="0" labelOnly="1" outline="0" axis="axisValues" fieldPosition="0"/>
    </format>
    <format dxfId="283">
      <pivotArea dataOnly="0" labelOnly="1" outline="0" axis="axisValues" fieldPosition="0"/>
    </format>
    <format dxfId="284">
      <pivotArea field="1" type="button" dataOnly="0" labelOnly="1" outline="0" axis="axisRow" fieldPosition="0"/>
    </format>
    <format dxfId="285">
      <pivotArea dataOnly="0" labelOnly="1" outline="0" axis="axisValues" fieldPosition="0"/>
    </format>
    <format dxfId="286">
      <pivotArea dataOnly="0" labelOnly="1" outline="0" axis="axisValues" fieldPosition="0"/>
    </format>
    <format dxfId="287">
      <pivotArea field="1" type="button" dataOnly="0" labelOnly="1" outline="0" axis="axisRow" fieldPosition="0"/>
    </format>
    <format dxfId="288">
      <pivotArea dataOnly="0" labelOnly="1" outline="0" axis="axisValues" fieldPosition="0"/>
    </format>
    <format dxfId="289">
      <pivotArea dataOnly="0" labelOnly="1" outline="0" axis="axisValues" fieldPosition="0"/>
    </format>
    <format dxfId="290">
      <pivotArea field="1" type="button" dataOnly="0" labelOnly="1" outline="0" axis="axisRow" fieldPosition="0"/>
    </format>
    <format dxfId="291">
      <pivotArea dataOnly="0" labelOnly="1" outline="0" axis="axisValues" fieldPosition="0"/>
    </format>
    <format dxfId="292">
      <pivotArea dataOnly="0" labelOnly="1" outline="0" axis="axisValues" fieldPosition="0"/>
    </format>
    <format dxfId="293">
      <pivotArea field="1" type="button" dataOnly="0" labelOnly="1" outline="0" axis="axisRow" fieldPosition="0"/>
    </format>
    <format dxfId="294">
      <pivotArea dataOnly="0" labelOnly="1" outline="0" axis="axisValues" fieldPosition="0"/>
    </format>
    <format dxfId="295">
      <pivotArea dataOnly="0" labelOnly="1" outline="0" axis="axisValues" fieldPosition="0"/>
    </format>
    <format dxfId="296">
      <pivotArea dataOnly="0" fieldPosition="0">
        <references count="1">
          <reference field="1" count="5">
            <x v="323"/>
            <x v="372"/>
            <x v="373"/>
            <x v="429"/>
            <x v="433"/>
          </reference>
        </references>
      </pivotArea>
    </format>
    <format dxfId="297">
      <pivotArea dataOnly="0" fieldPosition="0">
        <references count="1">
          <reference field="1" count="5">
            <x v="323"/>
            <x v="372"/>
            <x v="373"/>
            <x v="429"/>
            <x v="433"/>
          </reference>
        </references>
      </pivotArea>
    </format>
    <format dxfId="298">
      <pivotArea dataOnly="0" fieldPosition="0">
        <references count="1">
          <reference field="1" count="5">
            <x v="323"/>
            <x v="372"/>
            <x v="373"/>
            <x v="429"/>
            <x v="433"/>
          </reference>
        </references>
      </pivotArea>
    </format>
    <format dxfId="299">
      <pivotArea dataOnly="0" fieldPosition="0">
        <references count="1">
          <reference field="1" count="5">
            <x v="323"/>
            <x v="372"/>
            <x v="373"/>
            <x v="429"/>
            <x v="433"/>
          </reference>
        </references>
      </pivotArea>
    </format>
    <format dxfId="300">
      <pivotArea field="1" type="button" dataOnly="0" labelOnly="1" outline="0" axis="axisRow" fieldPosition="0"/>
    </format>
    <format dxfId="301">
      <pivotArea dataOnly="0" labelOnly="1" outline="0" axis="axisValues" fieldPosition="0"/>
    </format>
    <format dxfId="302">
      <pivotArea dataOnly="0" labelOnly="1" outline="0" axis="axisValues" fieldPosition="0"/>
    </format>
    <format dxfId="303">
      <pivotArea field="1" type="button" dataOnly="0" labelOnly="1" outline="0" axis="axisRow" fieldPosition="0"/>
    </format>
    <format dxfId="304">
      <pivotArea dataOnly="0" labelOnly="1" outline="0" axis="axisValues" fieldPosition="0"/>
    </format>
    <format dxfId="305">
      <pivotArea dataOnly="0" labelOnly="1" outline="0" axis="axisValues" fieldPosition="0"/>
    </format>
    <format dxfId="306">
      <pivotArea field="1" type="button" dataOnly="0" labelOnly="1" outline="0" axis="axisRow" fieldPosition="0"/>
    </format>
    <format dxfId="307">
      <pivotArea dataOnly="0" labelOnly="1" outline="0" axis="axisValues" fieldPosition="0"/>
    </format>
    <format dxfId="308">
      <pivotArea dataOnly="0" labelOnly="1" outline="0" axis="axisValues" fieldPosition="0"/>
    </format>
    <format dxfId="309">
      <pivotArea dataOnly="0" fieldPosition="0">
        <references count="1">
          <reference field="1" count="5">
            <x v="323"/>
            <x v="372"/>
            <x v="373"/>
            <x v="429"/>
            <x v="433"/>
          </reference>
        </references>
      </pivotArea>
    </format>
    <format dxfId="310">
      <pivotArea dataOnly="0" fieldPosition="0">
        <references count="1">
          <reference field="1" count="5">
            <x v="323"/>
            <x v="372"/>
            <x v="373"/>
            <x v="429"/>
            <x v="433"/>
          </reference>
        </references>
      </pivotArea>
    </format>
    <format dxfId="311">
      <pivotArea dataOnly="0" fieldPosition="0">
        <references count="1">
          <reference field="1" count="5">
            <x v="323"/>
            <x v="372"/>
            <x v="373"/>
            <x v="429"/>
            <x v="433"/>
          </reference>
        </references>
      </pivotArea>
    </format>
    <format dxfId="312">
      <pivotArea dataOnly="0" fieldPosition="0">
        <references count="1">
          <reference field="1" count="5">
            <x v="323"/>
            <x v="372"/>
            <x v="373"/>
            <x v="429"/>
            <x v="433"/>
          </reference>
        </references>
      </pivotArea>
    </format>
    <format dxfId="313">
      <pivotArea dataOnly="0" fieldPosition="0">
        <references count="1">
          <reference field="1" count="5">
            <x v="323"/>
            <x v="372"/>
            <x v="373"/>
            <x v="429"/>
            <x v="433"/>
          </reference>
        </references>
      </pivotArea>
    </format>
    <format dxfId="314">
      <pivotArea type="all" dataOnly="0" outline="0" fieldPosition="0"/>
    </format>
    <format dxfId="315">
      <pivotArea outline="0" collapsedLevelsAreSubtotals="1" fieldPosition="0"/>
    </format>
    <format dxfId="316">
      <pivotArea field="1" type="button" dataOnly="0" labelOnly="1" outline="0" axis="axisRow" fieldPosition="0"/>
    </format>
    <format dxfId="317">
      <pivotArea dataOnly="0" labelOnly="1" outline="0" axis="axisValues" fieldPosition="0"/>
    </format>
    <format dxfId="318">
      <pivotArea dataOnly="0" labelOnly="1" fieldPosition="0">
        <references count="1">
          <reference field="1" count="5">
            <x v="323"/>
            <x v="372"/>
            <x v="373"/>
            <x v="429"/>
            <x v="433"/>
          </reference>
        </references>
      </pivotArea>
    </format>
    <format dxfId="319">
      <pivotArea dataOnly="0" labelOnly="1" outline="0" axis="axisValues" fieldPosition="0"/>
    </format>
    <format dxfId="320">
      <pivotArea field="1" type="button" dataOnly="0" labelOnly="1" outline="0" axis="axisRow" fieldPosition="0"/>
    </format>
    <format dxfId="321">
      <pivotArea dataOnly="0" labelOnly="1" outline="0" axis="axisValues" fieldPosition="0"/>
    </format>
    <format dxfId="322">
      <pivotArea dataOnly="0" labelOnly="1" outline="0" axis="axisValues" fieldPosition="0"/>
    </format>
    <format dxfId="323">
      <pivotArea field="1" type="button" dataOnly="0" labelOnly="1" outline="0" axis="axisRow" fieldPosition="0"/>
    </format>
    <format dxfId="324">
      <pivotArea dataOnly="0" labelOnly="1" outline="0" axis="axisValues" fieldPosition="0"/>
    </format>
    <format dxfId="325">
      <pivotArea dataOnly="0" labelOnly="1" outline="0" axis="axisValues" fieldPosition="0"/>
    </format>
    <format dxfId="326">
      <pivotArea field="1" type="button" dataOnly="0" labelOnly="1" outline="0" axis="axisRow" fieldPosition="0"/>
    </format>
    <format dxfId="327">
      <pivotArea dataOnly="0" labelOnly="1" outline="0" axis="axisValues" fieldPosition="0"/>
    </format>
    <format dxfId="328">
      <pivotArea dataOnly="0" labelOnly="1" outline="0" axis="axisValues" fieldPosition="0"/>
    </format>
    <format dxfId="329">
      <pivotArea field="1" type="button" dataOnly="0" labelOnly="1" outline="0" axis="axisRow" fieldPosition="0"/>
    </format>
    <format dxfId="330">
      <pivotArea dataOnly="0" labelOnly="1" outline="0" axis="axisValues" fieldPosition="0"/>
    </format>
    <format dxfId="331">
      <pivotArea dataOnly="0" labelOnly="1" outline="0" axis="axisValues" fieldPosition="0"/>
    </format>
    <format dxfId="332">
      <pivotArea field="1" type="button" dataOnly="0" labelOnly="1" outline="0" axis="axisRow" fieldPosition="0"/>
    </format>
    <format dxfId="333">
      <pivotArea dataOnly="0" labelOnly="1" outline="0" axis="axisValues" fieldPosition="0"/>
    </format>
    <format dxfId="334">
      <pivotArea dataOnly="0" labelOnly="1" outline="0" axis="axisValues" fieldPosition="0"/>
    </format>
    <format dxfId="335">
      <pivotArea field="1" type="button" dataOnly="0" labelOnly="1" outline="0" axis="axisRow" fieldPosition="0"/>
    </format>
    <format dxfId="336">
      <pivotArea dataOnly="0" labelOnly="1" outline="0" axis="axisValues" fieldPosition="0"/>
    </format>
    <format dxfId="337">
      <pivotArea dataOnly="0" labelOnly="1" outline="0" axis="axisValues" fieldPosition="0"/>
    </format>
    <format dxfId="338">
      <pivotArea field="1" type="button" dataOnly="0" labelOnly="1" outline="0" axis="axisRow" fieldPosition="0"/>
    </format>
    <format dxfId="339">
      <pivotArea dataOnly="0" labelOnly="1" outline="0" axis="axisValues" fieldPosition="0"/>
    </format>
    <format dxfId="340">
      <pivotArea dataOnly="0" labelOnly="1" outline="0" axis="axisValues" fieldPosition="0"/>
    </format>
    <format dxfId="341">
      <pivotArea field="1" type="button" dataOnly="0" labelOnly="1" outline="0" axis="axisRow" fieldPosition="0"/>
    </format>
    <format dxfId="342">
      <pivotArea dataOnly="0" labelOnly="1" outline="0" axis="axisValues" fieldPosition="0"/>
    </format>
    <format dxfId="343">
      <pivotArea dataOnly="0" labelOnly="1" outline="0" axis="axisValues" fieldPosition="0"/>
    </format>
    <format dxfId="344">
      <pivotArea field="1" type="button" dataOnly="0" labelOnly="1" outline="0" axis="axisRow" fieldPosition="0"/>
    </format>
    <format dxfId="345">
      <pivotArea dataOnly="0" labelOnly="1" outline="0" axis="axisValues" fieldPosition="0"/>
    </format>
    <format dxfId="346">
      <pivotArea dataOnly="0" labelOnly="1" outline="0" axis="axisValues" fieldPosition="0"/>
    </format>
    <format dxfId="347">
      <pivotArea dataOnly="0" labelOnly="1" fieldPosition="0">
        <references count="1">
          <reference field="1" count="0"/>
        </references>
      </pivotArea>
    </format>
    <format dxfId="348">
      <pivotArea type="all" dataOnly="0" outline="0" fieldPosition="0"/>
    </format>
    <format dxfId="349">
      <pivotArea outline="0" collapsedLevelsAreSubtotals="1" fieldPosition="0"/>
    </format>
    <format dxfId="350">
      <pivotArea field="1" type="button" dataOnly="0" labelOnly="1" outline="0" axis="axisRow" fieldPosition="0"/>
    </format>
    <format dxfId="351">
      <pivotArea dataOnly="0" labelOnly="1" outline="0" axis="axisValues" fieldPosition="0"/>
    </format>
    <format dxfId="352">
      <pivotArea dataOnly="0" labelOnly="1" fieldPosition="0">
        <references count="1">
          <reference field="1" count="5">
            <x v="323"/>
            <x v="372"/>
            <x v="373"/>
            <x v="429"/>
            <x v="433"/>
          </reference>
        </references>
      </pivotArea>
    </format>
    <format dxfId="353">
      <pivotArea dataOnly="0" labelOnly="1" outline="0" axis="axisValues" fieldPosition="0"/>
    </format>
    <format dxfId="354">
      <pivotArea type="all" dataOnly="0" outline="0" fieldPosition="0"/>
    </format>
    <format dxfId="355">
      <pivotArea outline="0" collapsedLevelsAreSubtotals="1" fieldPosition="0"/>
    </format>
    <format dxfId="356">
      <pivotArea field="1" type="button" dataOnly="0" labelOnly="1" outline="0" axis="axisRow" fieldPosition="0"/>
    </format>
    <format dxfId="357">
      <pivotArea dataOnly="0" labelOnly="1" outline="0" axis="axisValues" fieldPosition="0"/>
    </format>
    <format dxfId="358">
      <pivotArea dataOnly="0" labelOnly="1" fieldPosition="0">
        <references count="1">
          <reference field="1" count="5">
            <x v="323"/>
            <x v="372"/>
            <x v="373"/>
            <x v="429"/>
            <x v="433"/>
          </reference>
        </references>
      </pivotArea>
    </format>
    <format dxfId="359">
      <pivotArea dataOnly="0" labelOnly="1" outline="0" axis="axisValues" fieldPosition="0"/>
    </format>
    <format dxfId="360">
      <pivotArea outline="0" collapsedLevelsAreSubtotals="1" fieldPosition="0"/>
    </format>
    <format dxfId="361">
      <pivotArea outline="0" collapsedLevelsAreSubtotals="1" fieldPosition="0"/>
    </format>
    <format dxfId="362">
      <pivotArea field="1" type="button" dataOnly="0" labelOnly="1" outline="0" axis="axisRow" fieldPosition="0"/>
    </format>
    <format dxfId="363">
      <pivotArea field="1" type="button" dataOnly="0" labelOnly="1" outline="0" axis="axisRow" fieldPosition="0"/>
    </format>
    <format dxfId="364">
      <pivotArea dataOnly="0" labelOnly="1" outline="0" axis="axisValues" fieldPosition="0"/>
    </format>
    <format dxfId="365">
      <pivotArea dataOnly="0" labelOnly="1" outline="0" axis="axisValues" fieldPosition="0"/>
    </format>
    <format dxfId="366">
      <pivotArea dataOnly="0" labelOnly="1" outline="0" axis="axisValues" fieldPosition="0"/>
    </format>
    <format dxfId="367">
      <pivotArea dataOnly="0" labelOnly="1" outline="0" axis="axisValues" fieldPosition="0"/>
    </format>
    <format dxfId="368">
      <pivotArea outline="0" collapsedLevelsAreSubtotals="1" fieldPosition="0"/>
    </format>
    <format dxfId="252">
      <pivotArea dataOnly="0" labelOnly="1" fieldPosition="0">
        <references count="1">
          <reference field="1" count="0"/>
        </references>
      </pivotArea>
    </format>
    <format dxfId="150">
      <pivotArea dataOnly="0" labelOnly="1" fieldPosition="0">
        <references count="1">
          <reference field="1" count="5">
            <x v="323"/>
            <x v="372"/>
            <x v="373"/>
            <x v="429"/>
            <x v="433"/>
          </reference>
        </references>
      </pivotArea>
    </format>
    <format dxfId="149">
      <pivotArea dataOnly="0" labelOnly="1" fieldPosition="0">
        <references count="1">
          <reference field="1" count="5">
            <x v="323"/>
            <x v="372"/>
            <x v="373"/>
            <x v="429"/>
            <x v="433"/>
          </reference>
        </references>
      </pivotArea>
    </format>
    <format dxfId="148">
      <pivotArea dataOnly="0" labelOnly="1" fieldPosition="0">
        <references count="1">
          <reference field="1" count="5">
            <x v="323"/>
            <x v="372"/>
            <x v="373"/>
            <x v="429"/>
            <x v="433"/>
          </reference>
        </references>
      </pivotArea>
    </format>
    <format dxfId="147">
      <pivotArea type="all" dataOnly="0" outline="0" fieldPosition="0"/>
    </format>
    <format dxfId="146">
      <pivotArea outline="0" collapsedLevelsAreSubtotals="1" fieldPosition="0"/>
    </format>
    <format dxfId="145">
      <pivotArea field="1" type="button" dataOnly="0" labelOnly="1" outline="0" axis="axisRow" fieldPosition="0"/>
    </format>
    <format dxfId="144">
      <pivotArea dataOnly="0" labelOnly="1" outline="0" axis="axisValues" fieldPosition="0"/>
    </format>
    <format dxfId="143">
      <pivotArea dataOnly="0" labelOnly="1" fieldPosition="0">
        <references count="1">
          <reference field="1" count="5">
            <x v="323"/>
            <x v="372"/>
            <x v="373"/>
            <x v="429"/>
            <x v="433"/>
          </reference>
        </references>
      </pivotArea>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outline="0" axis="axisValues" fieldPosition="0"/>
    </format>
    <format dxfId="137">
      <pivotArea dataOnly="0" labelOnly="1" fieldPosition="0">
        <references count="1">
          <reference field="1" count="5">
            <x v="323"/>
            <x v="372"/>
            <x v="373"/>
            <x v="429"/>
            <x v="433"/>
          </reference>
        </references>
      </pivotArea>
    </format>
    <format dxfId="136">
      <pivotArea dataOnly="0" labelOnly="1" outline="0" axis="axisValues" fieldPosition="0"/>
    </format>
    <format dxfId="135">
      <pivotArea field="1" type="button" dataOnly="0" labelOnly="1" outline="0" axis="axisRow" fieldPosition="0"/>
    </format>
    <format dxfId="134">
      <pivotArea dataOnly="0" labelOnly="1" outline="0" axis="axisValues" fieldPosition="0"/>
    </format>
    <format dxfId="133">
      <pivotArea dataOnly="0" labelOnly="1" outline="0" axis="axisValues" fieldPosition="0"/>
    </format>
    <format dxfId="132">
      <pivotArea dataOnly="0" fieldPosition="0">
        <references count="1">
          <reference field="1" count="5">
            <x v="323"/>
            <x v="372"/>
            <x v="373"/>
            <x v="429"/>
            <x v="433"/>
          </reference>
        </references>
      </pivotArea>
    </format>
    <format dxfId="131">
      <pivotArea field="1" type="button" dataOnly="0" labelOnly="1" outline="0" axis="axisRow" fieldPosition="0"/>
    </format>
    <format dxfId="130">
      <pivotArea field="1" type="button" dataOnly="0" labelOnly="1" outline="0" axis="axisRow" fieldPosition="0"/>
    </format>
    <format dxfId="129">
      <pivotArea field="1" type="button" dataOnly="0" labelOnly="1" outline="0" axis="axisRow" fieldPosition="0"/>
    </format>
    <format dxfId="128">
      <pivotArea field="1" type="button" dataOnly="0" labelOnly="1" outline="0" axis="axisRow" fieldPosition="0"/>
    </format>
    <format dxfId="127">
      <pivotArea field="1" type="button" dataOnly="0" labelOnly="1" outline="0" axis="axisRow" fieldPosition="0"/>
    </format>
    <format dxfId="126">
      <pivotArea field="1" type="button" dataOnly="0" labelOnly="1" outline="0" axis="axisRow" fieldPosition="0"/>
    </format>
  </formats>
  <pivotTableStyleInfo name="PivotStyleLight2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6" unboundColumnsRight="1">
    <queryTableFields count="21">
      <queryTableField id="1" name="Patient_ID" tableColumnId="39"/>
      <queryTableField id="2" name="Patient_Name" tableColumnId="40"/>
      <queryTableField id="3" name="Age" tableColumnId="41"/>
      <queryTableField id="4" name="Gender" tableColumnId="42"/>
      <queryTableField id="5" name="City" tableColumnId="43"/>
      <queryTableField id="6" name="Blood_Group" tableColumnId="44"/>
      <queryTableField id="7" name="Diagnosis" tableColumnId="45"/>
      <queryTableField id="8" name="Height_cm" tableColumnId="46"/>
      <queryTableField id="9" name="Weight_kg" tableColumnId="47"/>
      <queryTableField id="10" name="Smoking_Status" tableColumnId="48"/>
      <queryTableField id="11" name="Has_Insurance" tableColumnId="49"/>
      <queryTableField id="12" name="Department" tableColumnId="50"/>
      <queryTableField id="15" name="Admission_Date" tableColumnId="53"/>
      <queryTableField id="20" dataBound="0" tableColumnId="1"/>
      <queryTableField id="21" dataBound="0" tableColumnId="2"/>
      <queryTableField id="16" name="Bill_Amount" tableColumnId="54"/>
      <queryTableField id="22" dataBound="0" tableColumnId="3"/>
      <queryTableField id="17" name="Custom" tableColumnId="55"/>
      <queryTableField id="18" name="BMI" tableColumnId="56"/>
      <queryTableField id="19" name="BMII" tableColumnId="57"/>
      <queryTableField id="23" dataBound="0" tableColumnId="4"/>
    </queryTableFields>
    <queryTableDeletedFields count="2">
      <deletedField name="Column2"/>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6" name="PivotTable4"/>
    <pivotTable tabId="16" name="PivotTable5"/>
    <pivotTable tabId="16" name="PivotTable6"/>
    <pivotTable tabId="16" name="PivotTable7"/>
  </pivotTables>
  <data>
    <tabular pivotCacheId="1">
      <items count="16">
        <i x="5" s="1"/>
        <i x="1" s="1"/>
        <i x="3" s="1"/>
        <i x="10" s="1"/>
        <i x="2" s="1"/>
        <i x="12" s="1"/>
        <i x="0" s="1"/>
        <i x="8" s="1"/>
        <i x="4" s="1"/>
        <i x="15" s="1"/>
        <i x="13" s="1"/>
        <i x="9" s="1"/>
        <i x="14" s="1"/>
        <i x="7" s="1"/>
        <i x="6"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9" name="PivotTable12"/>
    <pivotTable tabId="16" name="PivotTable4"/>
    <pivotTable tabId="16" name="PivotTable5"/>
    <pivotTable tabId="16" name="PivotTable6"/>
    <pivotTable tabId="16" name="PivotTable7"/>
  </pivotTables>
  <data>
    <tabular pivotCacheId="1">
      <items count="12">
        <i x="3" s="1"/>
        <i x="2" s="1"/>
        <i x="4" s="1"/>
        <i x="6" s="1"/>
        <i x="0" s="1"/>
        <i x="1" s="1"/>
        <i x="7" s="1"/>
        <i x="9" s="1"/>
        <i x="11" s="1"/>
        <i x="10"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Department"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startItem="9" style="SlicerStyleDark4" rowHeight="241300"/>
  <slicer name="Department 1" cache="Slicer_Department" caption="Department" startItem="5"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1_3" displayName="Table1_3" ref="A1:U541" tableType="queryTable" totalsRowShown="0">
  <autoFilter ref="A1:U541"/>
  <tableColumns count="21">
    <tableColumn id="39" uniqueName="39" name="Patient_ID" queryTableFieldId="1"/>
    <tableColumn id="40" uniqueName="40" name="Patient_Name" queryTableFieldId="2"/>
    <tableColumn id="41" uniqueName="41" name="Age" queryTableFieldId="3"/>
    <tableColumn id="42" uniqueName="42" name="Gender" queryTableFieldId="4"/>
    <tableColumn id="43" uniqueName="43" name="City" queryTableFieldId="5"/>
    <tableColumn id="44" uniqueName="44" name="Blood_Group" queryTableFieldId="6"/>
    <tableColumn id="45" uniqueName="45" name="Diagnosis" queryTableFieldId="7"/>
    <tableColumn id="46" uniqueName="46" name="Height_cm" queryTableFieldId="8"/>
    <tableColumn id="47" uniqueName="47" name="Weight_kg" queryTableFieldId="9"/>
    <tableColumn id="48" uniqueName="48" name="Smoking_Status" queryTableFieldId="10"/>
    <tableColumn id="49" uniqueName="49" name="Has_Insurance" queryTableFieldId="11"/>
    <tableColumn id="50" uniqueName="50" name="Department" queryTableFieldId="12"/>
    <tableColumn id="53" uniqueName="53" name="Admission_Date" queryTableFieldId="15"/>
    <tableColumn id="1" uniqueName="1" name="Year" queryTableFieldId="20" dataDxfId="375">
      <calculatedColumnFormula>Table1_3[[#This Row],[Admission_Date]]</calculatedColumnFormula>
    </tableColumn>
    <tableColumn id="2" uniqueName="2" name="Column1" queryTableFieldId="21" dataDxfId="374">
      <calculatedColumnFormula>Table1_3[[#This Row],[Admission_Date]]</calculatedColumnFormula>
    </tableColumn>
    <tableColumn id="54" uniqueName="54" name="Bill_Amount2" queryTableFieldId="16"/>
    <tableColumn id="3" uniqueName="3" name="Bill_Amount rank" queryTableFieldId="22" dataDxfId="373">
      <calculatedColumnFormula>SUMPRODUCT(($L$2:$L$5000=L2)*($O$2:$O$5000&gt;P2))+1</calculatedColumnFormula>
    </tableColumn>
    <tableColumn id="55" uniqueName="55" name="Age_Group" queryTableFieldId="17"/>
    <tableColumn id="56" uniqueName="56" name="BMI" queryTableFieldId="18"/>
    <tableColumn id="57" uniqueName="57" name="BMII" queryTableFieldId="19"/>
    <tableColumn id="4" uniqueName="4" name="Doctor_refrnece" queryTableFieldId="23" dataDxfId="372">
      <calculatedColumnFormula>INDEX(Table2[Doctor_Name],MATCH(Table1_3[[#This Row],[Department]],Table2[Department],0))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2" name="Table2" displayName="Table2" ref="A1:E26" totalsRowShown="0" headerRowDxfId="371">
  <autoFilter ref="A1:E26"/>
  <tableColumns count="5">
    <tableColumn id="1" name="Doctor_ID"/>
    <tableColumn id="2" name="Doctor_Name"/>
    <tableColumn id="3" name="Department"/>
    <tableColumn id="4" name="Years_Experience"/>
    <tableColumn id="5" name="Consultation_Fee"/>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I421" totalsRowShown="0" headerRowDxfId="370">
  <autoFilter ref="A1:I421"/>
  <tableColumns count="9">
    <tableColumn id="1" name="Test_ID"/>
    <tableColumn id="2" name="Patient_ID"/>
    <tableColumn id="3" name="Test_Name"/>
    <tableColumn id="4" name="Test_Date"/>
    <tableColumn id="5" name="Result_Value"/>
    <tableColumn id="6" name="Unit"/>
    <tableColumn id="7" name="Normal_Range"/>
    <tableColumn id="8" name="Status"/>
    <tableColumn id="9" name="Orpahn_check" dataDxfId="369">
      <calculatedColumnFormula>IF(COUNTIF(Old_Patient_Records!$A$2:$A$549,Table4[[#This Row],[Patient_ID]])=0,"Orphan","Valid")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9"/>
  <sheetViews>
    <sheetView zoomScale="53" workbookViewId="0">
      <selection activeCell="L10" sqref="L10"/>
    </sheetView>
  </sheetViews>
  <sheetFormatPr defaultRowHeight="14.5" x14ac:dyDescent="0.35"/>
  <cols>
    <col min="1" max="1" width="11.6328125" customWidth="1"/>
    <col min="2" max="2" width="20" customWidth="1"/>
    <col min="3" max="3" width="6" customWidth="1"/>
    <col min="4" max="4" width="10" customWidth="1"/>
    <col min="5" max="5" width="14" customWidth="1"/>
    <col min="6" max="6" width="14.08984375" customWidth="1"/>
    <col min="7" max="7" width="20" customWidth="1"/>
    <col min="8" max="8" width="11.7265625" customWidth="1"/>
    <col min="9" max="9" width="11.90625" customWidth="1"/>
    <col min="10" max="10" width="16.36328125" customWidth="1"/>
    <col min="11" max="11" width="15.26953125" customWidth="1"/>
    <col min="12" max="12" width="16" customWidth="1"/>
    <col min="13" max="13" width="16.36328125" customWidth="1"/>
    <col min="14" max="14" width="13"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967</v>
      </c>
      <c r="B2" t="s">
        <v>968</v>
      </c>
      <c r="C2">
        <v>200</v>
      </c>
      <c r="D2" t="s">
        <v>29</v>
      </c>
      <c r="E2" t="s">
        <v>146</v>
      </c>
      <c r="F2" t="s">
        <v>2517</v>
      </c>
      <c r="G2" t="s">
        <v>90</v>
      </c>
      <c r="H2">
        <v>164</v>
      </c>
      <c r="I2">
        <v>125.7</v>
      </c>
      <c r="J2" t="s">
        <v>94</v>
      </c>
      <c r="K2" t="s">
        <v>47</v>
      </c>
      <c r="L2" t="s">
        <v>21</v>
      </c>
      <c r="M2" t="s">
        <v>628</v>
      </c>
      <c r="N2">
        <v>17228.95</v>
      </c>
    </row>
    <row r="3" spans="1:14" x14ac:dyDescent="0.35">
      <c r="A3" t="s">
        <v>1141</v>
      </c>
      <c r="B3" t="s">
        <v>1142</v>
      </c>
      <c r="C3">
        <v>200</v>
      </c>
      <c r="D3" t="s">
        <v>138</v>
      </c>
      <c r="E3" t="s">
        <v>111</v>
      </c>
      <c r="F3" t="s">
        <v>2517</v>
      </c>
      <c r="G3" t="s">
        <v>102</v>
      </c>
      <c r="H3">
        <v>170</v>
      </c>
      <c r="I3">
        <v>99.4</v>
      </c>
      <c r="J3" t="s">
        <v>46</v>
      </c>
      <c r="K3" t="s">
        <v>85</v>
      </c>
      <c r="L3" t="s">
        <v>199</v>
      </c>
      <c r="M3" t="s">
        <v>1143</v>
      </c>
      <c r="N3">
        <v>17881.73</v>
      </c>
    </row>
    <row r="4" spans="1:14" x14ac:dyDescent="0.35">
      <c r="A4" t="s">
        <v>183</v>
      </c>
      <c r="B4" t="s">
        <v>184</v>
      </c>
      <c r="C4">
        <v>150</v>
      </c>
      <c r="D4" t="s">
        <v>29</v>
      </c>
      <c r="E4" t="s">
        <v>119</v>
      </c>
      <c r="F4" t="s">
        <v>17</v>
      </c>
      <c r="G4" t="s">
        <v>36</v>
      </c>
      <c r="H4">
        <v>167.9</v>
      </c>
      <c r="I4">
        <v>70.7</v>
      </c>
      <c r="J4" t="s">
        <v>41</v>
      </c>
      <c r="L4" t="s">
        <v>86</v>
      </c>
      <c r="M4" t="s">
        <v>185</v>
      </c>
      <c r="N4">
        <v>27888.06</v>
      </c>
    </row>
    <row r="5" spans="1:14" x14ac:dyDescent="0.35">
      <c r="A5" t="s">
        <v>310</v>
      </c>
      <c r="B5" t="s">
        <v>311</v>
      </c>
      <c r="C5">
        <v>150</v>
      </c>
      <c r="D5" t="s">
        <v>29</v>
      </c>
      <c r="E5" t="s">
        <v>24</v>
      </c>
      <c r="F5" t="s">
        <v>134</v>
      </c>
      <c r="G5" t="s">
        <v>36</v>
      </c>
      <c r="H5">
        <v>155.9</v>
      </c>
      <c r="I5">
        <v>72</v>
      </c>
      <c r="J5" t="s">
        <v>95</v>
      </c>
      <c r="L5" t="s">
        <v>107</v>
      </c>
      <c r="M5" t="s">
        <v>312</v>
      </c>
      <c r="N5">
        <v>8447.59</v>
      </c>
    </row>
    <row r="6" spans="1:14" x14ac:dyDescent="0.35">
      <c r="A6" t="s">
        <v>740</v>
      </c>
      <c r="B6" t="s">
        <v>741</v>
      </c>
      <c r="C6">
        <v>150</v>
      </c>
      <c r="D6" t="s">
        <v>138</v>
      </c>
      <c r="E6" t="s">
        <v>45</v>
      </c>
      <c r="F6" t="s">
        <v>2517</v>
      </c>
      <c r="G6" t="s">
        <v>35</v>
      </c>
      <c r="H6">
        <v>147.4</v>
      </c>
      <c r="I6">
        <v>106.4</v>
      </c>
      <c r="K6" t="s">
        <v>30</v>
      </c>
      <c r="L6" t="s">
        <v>143</v>
      </c>
      <c r="M6" t="s">
        <v>742</v>
      </c>
      <c r="N6">
        <v>30999.48</v>
      </c>
    </row>
    <row r="7" spans="1:14" ht="14.5" customHeight="1" x14ac:dyDescent="0.35">
      <c r="A7" t="s">
        <v>140</v>
      </c>
      <c r="B7" t="s">
        <v>2410</v>
      </c>
      <c r="C7">
        <v>95</v>
      </c>
      <c r="D7" t="s">
        <v>138</v>
      </c>
      <c r="E7" t="s">
        <v>89</v>
      </c>
      <c r="F7" t="s">
        <v>141</v>
      </c>
      <c r="G7" t="s">
        <v>40</v>
      </c>
      <c r="H7">
        <v>175.4</v>
      </c>
      <c r="I7">
        <v>61.5</v>
      </c>
      <c r="J7" t="s">
        <v>65</v>
      </c>
      <c r="K7" t="s">
        <v>142</v>
      </c>
      <c r="L7" t="s">
        <v>143</v>
      </c>
      <c r="M7" t="s">
        <v>144</v>
      </c>
      <c r="N7">
        <v>26930.03</v>
      </c>
    </row>
    <row r="8" spans="1:14" ht="14.5" customHeight="1" x14ac:dyDescent="0.35">
      <c r="A8" t="s">
        <v>1037</v>
      </c>
      <c r="B8" t="s">
        <v>1038</v>
      </c>
      <c r="C8">
        <v>95</v>
      </c>
      <c r="D8" t="s">
        <v>52</v>
      </c>
      <c r="E8" t="s">
        <v>78</v>
      </c>
      <c r="F8" t="s">
        <v>17</v>
      </c>
      <c r="G8" t="s">
        <v>54</v>
      </c>
      <c r="H8">
        <v>178</v>
      </c>
      <c r="I8">
        <v>108</v>
      </c>
      <c r="J8" t="s">
        <v>36</v>
      </c>
      <c r="L8" t="s">
        <v>86</v>
      </c>
      <c r="M8" t="s">
        <v>1039</v>
      </c>
      <c r="N8">
        <v>34612.78</v>
      </c>
    </row>
    <row r="9" spans="1:14" ht="14.5" customHeight="1" x14ac:dyDescent="0.35">
      <c r="A9" t="s">
        <v>1262</v>
      </c>
      <c r="B9" t="s">
        <v>1263</v>
      </c>
      <c r="C9">
        <v>95</v>
      </c>
      <c r="D9" t="s">
        <v>52</v>
      </c>
      <c r="E9" t="s">
        <v>24</v>
      </c>
      <c r="F9" t="s">
        <v>141</v>
      </c>
      <c r="G9" t="s">
        <v>35</v>
      </c>
      <c r="H9">
        <v>166.6</v>
      </c>
      <c r="I9">
        <v>123</v>
      </c>
      <c r="J9" t="s">
        <v>19</v>
      </c>
      <c r="K9" t="s">
        <v>142</v>
      </c>
      <c r="L9" t="s">
        <v>42</v>
      </c>
      <c r="M9" t="s">
        <v>1264</v>
      </c>
      <c r="N9">
        <v>16429.2</v>
      </c>
    </row>
    <row r="10" spans="1:14" ht="14.5" customHeight="1" x14ac:dyDescent="0.35">
      <c r="A10" t="s">
        <v>1378</v>
      </c>
      <c r="B10" t="s">
        <v>2503</v>
      </c>
      <c r="C10">
        <v>95</v>
      </c>
      <c r="D10" t="s">
        <v>138</v>
      </c>
      <c r="E10" t="s">
        <v>59</v>
      </c>
      <c r="F10" t="s">
        <v>17</v>
      </c>
      <c r="G10" t="s">
        <v>160</v>
      </c>
      <c r="H10">
        <v>160</v>
      </c>
      <c r="I10">
        <v>41.5</v>
      </c>
      <c r="K10" t="s">
        <v>65</v>
      </c>
      <c r="L10" t="s">
        <v>103</v>
      </c>
      <c r="M10" t="s">
        <v>1379</v>
      </c>
      <c r="N10">
        <v>43668.91</v>
      </c>
    </row>
    <row r="11" spans="1:14" ht="14.5" customHeight="1" x14ac:dyDescent="0.35">
      <c r="A11" t="s">
        <v>1453</v>
      </c>
      <c r="B11" t="s">
        <v>1454</v>
      </c>
      <c r="C11">
        <v>95</v>
      </c>
      <c r="D11" t="s">
        <v>29</v>
      </c>
      <c r="E11" t="s">
        <v>130</v>
      </c>
      <c r="F11" t="s">
        <v>273</v>
      </c>
      <c r="G11" t="s">
        <v>208</v>
      </c>
      <c r="H11">
        <v>160</v>
      </c>
      <c r="I11">
        <v>117</v>
      </c>
      <c r="J11" t="s">
        <v>41</v>
      </c>
      <c r="K11" t="s">
        <v>62</v>
      </c>
      <c r="L11" t="s">
        <v>143</v>
      </c>
      <c r="M11" t="s">
        <v>1455</v>
      </c>
      <c r="N11">
        <v>23560.94</v>
      </c>
    </row>
    <row r="12" spans="1:14" ht="14.5" customHeight="1" x14ac:dyDescent="0.35">
      <c r="A12" t="s">
        <v>585</v>
      </c>
      <c r="B12" t="s">
        <v>586</v>
      </c>
      <c r="C12">
        <v>94</v>
      </c>
      <c r="D12" t="s">
        <v>138</v>
      </c>
      <c r="E12" t="s">
        <v>24</v>
      </c>
      <c r="F12" t="s">
        <v>2517</v>
      </c>
      <c r="G12" t="s">
        <v>40</v>
      </c>
      <c r="H12">
        <v>156</v>
      </c>
      <c r="I12">
        <v>103</v>
      </c>
      <c r="J12" t="s">
        <v>36</v>
      </c>
      <c r="K12" t="s">
        <v>47</v>
      </c>
      <c r="L12" t="s">
        <v>175</v>
      </c>
      <c r="M12" t="s">
        <v>587</v>
      </c>
    </row>
    <row r="13" spans="1:14" ht="14.5" customHeight="1" x14ac:dyDescent="0.35">
      <c r="A13" t="s">
        <v>593</v>
      </c>
      <c r="B13" t="s">
        <v>594</v>
      </c>
      <c r="C13">
        <v>94</v>
      </c>
      <c r="D13" t="s">
        <v>52</v>
      </c>
      <c r="E13" t="s">
        <v>24</v>
      </c>
      <c r="F13" t="s">
        <v>273</v>
      </c>
      <c r="G13" t="s">
        <v>124</v>
      </c>
      <c r="H13">
        <v>181</v>
      </c>
      <c r="I13">
        <v>114.3</v>
      </c>
      <c r="J13" t="s">
        <v>46</v>
      </c>
      <c r="K13" t="s">
        <v>20</v>
      </c>
      <c r="L13" t="s">
        <v>199</v>
      </c>
      <c r="M13" t="s">
        <v>595</v>
      </c>
      <c r="N13">
        <v>44140.74</v>
      </c>
    </row>
    <row r="14" spans="1:14" ht="14.5" customHeight="1" x14ac:dyDescent="0.35">
      <c r="A14" t="s">
        <v>851</v>
      </c>
      <c r="B14" t="s">
        <v>2462</v>
      </c>
      <c r="C14">
        <v>94</v>
      </c>
      <c r="D14" t="s">
        <v>29</v>
      </c>
      <c r="E14" t="s">
        <v>24</v>
      </c>
      <c r="F14" t="s">
        <v>273</v>
      </c>
      <c r="G14" t="s">
        <v>295</v>
      </c>
      <c r="H14">
        <v>157</v>
      </c>
      <c r="I14">
        <v>92.9</v>
      </c>
      <c r="J14" t="s">
        <v>20</v>
      </c>
      <c r="K14" t="s">
        <v>30</v>
      </c>
      <c r="L14" t="s">
        <v>199</v>
      </c>
      <c r="M14" t="s">
        <v>852</v>
      </c>
      <c r="N14">
        <v>21545.06</v>
      </c>
    </row>
    <row r="15" spans="1:14" ht="14.5" customHeight="1" x14ac:dyDescent="0.35">
      <c r="A15" t="s">
        <v>918</v>
      </c>
      <c r="B15" t="s">
        <v>2464</v>
      </c>
      <c r="C15">
        <v>94</v>
      </c>
      <c r="D15" t="s">
        <v>138</v>
      </c>
      <c r="E15" t="s">
        <v>111</v>
      </c>
      <c r="F15" t="s">
        <v>17</v>
      </c>
      <c r="G15" t="s">
        <v>35</v>
      </c>
      <c r="H15">
        <v>193.2</v>
      </c>
      <c r="I15">
        <v>68.5</v>
      </c>
      <c r="J15" t="s">
        <v>85</v>
      </c>
      <c r="K15" t="s">
        <v>142</v>
      </c>
      <c r="L15" t="s">
        <v>55</v>
      </c>
      <c r="M15" t="s">
        <v>919</v>
      </c>
      <c r="N15">
        <v>47194.53</v>
      </c>
    </row>
    <row r="16" spans="1:14" ht="14.5" customHeight="1" x14ac:dyDescent="0.35">
      <c r="A16" t="s">
        <v>109</v>
      </c>
      <c r="B16" t="s">
        <v>110</v>
      </c>
      <c r="C16">
        <v>93</v>
      </c>
      <c r="D16" t="s">
        <v>138</v>
      </c>
      <c r="E16" t="s">
        <v>111</v>
      </c>
      <c r="F16" t="s">
        <v>36</v>
      </c>
      <c r="G16" t="s">
        <v>112</v>
      </c>
      <c r="H16">
        <v>150.1</v>
      </c>
      <c r="I16">
        <v>82</v>
      </c>
      <c r="J16" t="s">
        <v>46</v>
      </c>
      <c r="K16" t="s">
        <v>20</v>
      </c>
      <c r="L16" t="s">
        <v>103</v>
      </c>
      <c r="M16" t="s">
        <v>113</v>
      </c>
      <c r="N16">
        <v>22214.7</v>
      </c>
    </row>
    <row r="17" spans="1:14" ht="14.5" customHeight="1" x14ac:dyDescent="0.35">
      <c r="A17" t="s">
        <v>206</v>
      </c>
      <c r="B17" t="s">
        <v>207</v>
      </c>
      <c r="C17">
        <v>93</v>
      </c>
      <c r="D17" t="s">
        <v>29</v>
      </c>
      <c r="E17" t="s">
        <v>53</v>
      </c>
      <c r="F17" t="s">
        <v>2518</v>
      </c>
      <c r="G17" t="s">
        <v>208</v>
      </c>
      <c r="H17">
        <v>152</v>
      </c>
      <c r="I17">
        <v>124</v>
      </c>
      <c r="J17" t="s">
        <v>36</v>
      </c>
      <c r="L17" t="s">
        <v>26</v>
      </c>
      <c r="M17" t="s">
        <v>209</v>
      </c>
      <c r="N17">
        <v>42893.82</v>
      </c>
    </row>
    <row r="18" spans="1:14" ht="14.5" customHeight="1" x14ac:dyDescent="0.35">
      <c r="A18" t="s">
        <v>817</v>
      </c>
      <c r="B18" t="s">
        <v>2459</v>
      </c>
      <c r="C18">
        <v>93</v>
      </c>
      <c r="D18" t="s">
        <v>138</v>
      </c>
      <c r="E18" t="s">
        <v>89</v>
      </c>
      <c r="F18" t="s">
        <v>134</v>
      </c>
      <c r="G18" t="s">
        <v>102</v>
      </c>
      <c r="H18">
        <v>176</v>
      </c>
      <c r="I18">
        <v>110</v>
      </c>
      <c r="J18" t="s">
        <v>36</v>
      </c>
      <c r="K18" t="s">
        <v>47</v>
      </c>
      <c r="L18" t="s">
        <v>31</v>
      </c>
      <c r="M18" t="s">
        <v>818</v>
      </c>
      <c r="N18">
        <v>8480.5400000000009</v>
      </c>
    </row>
    <row r="19" spans="1:14" ht="14.5" customHeight="1" x14ac:dyDescent="0.35">
      <c r="A19" t="s">
        <v>905</v>
      </c>
      <c r="B19" t="s">
        <v>906</v>
      </c>
      <c r="C19">
        <v>93</v>
      </c>
      <c r="D19" t="s">
        <v>52</v>
      </c>
      <c r="E19" t="s">
        <v>24</v>
      </c>
      <c r="F19" t="s">
        <v>273</v>
      </c>
      <c r="G19" t="s">
        <v>54</v>
      </c>
      <c r="H19">
        <v>184</v>
      </c>
      <c r="I19">
        <v>54.4</v>
      </c>
      <c r="K19" t="s">
        <v>65</v>
      </c>
      <c r="L19" t="s">
        <v>143</v>
      </c>
      <c r="M19" t="s">
        <v>907</v>
      </c>
      <c r="N19">
        <v>30923.96</v>
      </c>
    </row>
    <row r="20" spans="1:14" ht="14.5" customHeight="1" x14ac:dyDescent="0.35">
      <c r="A20" t="s">
        <v>239</v>
      </c>
      <c r="B20" t="s">
        <v>240</v>
      </c>
      <c r="C20">
        <v>92</v>
      </c>
      <c r="D20" t="s">
        <v>29</v>
      </c>
      <c r="E20" t="s">
        <v>16</v>
      </c>
      <c r="F20" t="s">
        <v>141</v>
      </c>
      <c r="G20" t="s">
        <v>124</v>
      </c>
      <c r="H20">
        <v>146.6</v>
      </c>
      <c r="I20">
        <v>107.2</v>
      </c>
      <c r="J20" t="s">
        <v>65</v>
      </c>
      <c r="L20" t="s">
        <v>55</v>
      </c>
      <c r="M20" t="s">
        <v>241</v>
      </c>
      <c r="N20">
        <v>-8735.06</v>
      </c>
    </row>
    <row r="21" spans="1:14" ht="14.5" customHeight="1" x14ac:dyDescent="0.35">
      <c r="A21" t="s">
        <v>455</v>
      </c>
      <c r="B21" t="s">
        <v>2431</v>
      </c>
      <c r="C21">
        <v>92</v>
      </c>
      <c r="D21" t="s">
        <v>29</v>
      </c>
      <c r="E21" t="s">
        <v>45</v>
      </c>
      <c r="F21" t="s">
        <v>2518</v>
      </c>
      <c r="G21" t="s">
        <v>198</v>
      </c>
      <c r="H21">
        <v>191.2</v>
      </c>
      <c r="I21">
        <v>55</v>
      </c>
      <c r="J21" t="s">
        <v>46</v>
      </c>
      <c r="L21" t="s">
        <v>107</v>
      </c>
      <c r="M21" t="s">
        <v>456</v>
      </c>
      <c r="N21">
        <v>653.79</v>
      </c>
    </row>
    <row r="22" spans="1:14" ht="14.5" customHeight="1" x14ac:dyDescent="0.35">
      <c r="A22" t="s">
        <v>813</v>
      </c>
      <c r="B22" t="s">
        <v>2457</v>
      </c>
      <c r="C22">
        <v>92</v>
      </c>
      <c r="D22" t="s">
        <v>29</v>
      </c>
      <c r="E22" t="s">
        <v>45</v>
      </c>
      <c r="F22" t="s">
        <v>134</v>
      </c>
      <c r="G22" t="s">
        <v>74</v>
      </c>
      <c r="H22">
        <v>177.1</v>
      </c>
      <c r="I22">
        <v>125.8</v>
      </c>
      <c r="J22" t="s">
        <v>41</v>
      </c>
      <c r="K22" t="s">
        <v>62</v>
      </c>
      <c r="L22" t="s">
        <v>103</v>
      </c>
      <c r="M22" t="s">
        <v>814</v>
      </c>
      <c r="N22">
        <v>31334.09</v>
      </c>
    </row>
    <row r="23" spans="1:14" ht="14.5" customHeight="1" x14ac:dyDescent="0.35">
      <c r="A23" t="s">
        <v>870</v>
      </c>
      <c r="B23" t="s">
        <v>871</v>
      </c>
      <c r="C23">
        <v>92</v>
      </c>
      <c r="D23" t="s">
        <v>29</v>
      </c>
      <c r="E23" t="s">
        <v>146</v>
      </c>
      <c r="F23" t="s">
        <v>120</v>
      </c>
      <c r="G23" t="s">
        <v>35</v>
      </c>
      <c r="H23">
        <v>146</v>
      </c>
      <c r="I23">
        <v>43</v>
      </c>
      <c r="J23" t="s">
        <v>85</v>
      </c>
      <c r="K23" t="s">
        <v>47</v>
      </c>
      <c r="L23" t="s">
        <v>226</v>
      </c>
      <c r="M23" t="s">
        <v>872</v>
      </c>
      <c r="N23">
        <v>3773.75</v>
      </c>
    </row>
    <row r="24" spans="1:14" ht="14.5" customHeight="1" x14ac:dyDescent="0.35">
      <c r="A24" t="s">
        <v>876</v>
      </c>
      <c r="B24" t="s">
        <v>877</v>
      </c>
      <c r="C24">
        <v>92</v>
      </c>
      <c r="D24" t="s">
        <v>138</v>
      </c>
      <c r="E24" t="s">
        <v>119</v>
      </c>
      <c r="F24" t="s">
        <v>2517</v>
      </c>
      <c r="G24" t="s">
        <v>160</v>
      </c>
      <c r="H24">
        <v>147</v>
      </c>
      <c r="J24" t="s">
        <v>19</v>
      </c>
      <c r="K24" t="s">
        <v>30</v>
      </c>
      <c r="L24" t="s">
        <v>86</v>
      </c>
      <c r="M24" t="s">
        <v>878</v>
      </c>
      <c r="N24">
        <v>36941.71</v>
      </c>
    </row>
    <row r="25" spans="1:14" ht="14.5" customHeight="1" x14ac:dyDescent="0.35">
      <c r="A25" t="s">
        <v>1290</v>
      </c>
      <c r="B25" t="s">
        <v>2495</v>
      </c>
      <c r="C25">
        <v>92</v>
      </c>
      <c r="D25" t="s">
        <v>29</v>
      </c>
      <c r="E25" t="s">
        <v>45</v>
      </c>
      <c r="F25" t="s">
        <v>79</v>
      </c>
      <c r="G25" t="s">
        <v>60</v>
      </c>
      <c r="H25">
        <v>156.80000000000001</v>
      </c>
      <c r="I25">
        <v>123.1</v>
      </c>
      <c r="J25" t="s">
        <v>61</v>
      </c>
      <c r="K25" t="s">
        <v>19</v>
      </c>
      <c r="L25" t="s">
        <v>42</v>
      </c>
      <c r="M25" t="s">
        <v>1291</v>
      </c>
      <c r="N25">
        <v>44827.33</v>
      </c>
    </row>
    <row r="26" spans="1:14" ht="14.5" customHeight="1" x14ac:dyDescent="0.35">
      <c r="A26" t="s">
        <v>260</v>
      </c>
      <c r="B26" t="s">
        <v>261</v>
      </c>
      <c r="C26">
        <v>91</v>
      </c>
      <c r="D26" t="s">
        <v>29</v>
      </c>
      <c r="E26" t="s">
        <v>89</v>
      </c>
      <c r="F26" t="s">
        <v>2517</v>
      </c>
      <c r="G26" t="s">
        <v>80</v>
      </c>
      <c r="H26">
        <v>187.9</v>
      </c>
      <c r="I26">
        <v>89</v>
      </c>
      <c r="J26" t="s">
        <v>85</v>
      </c>
      <c r="K26" t="s">
        <v>95</v>
      </c>
      <c r="L26" t="s">
        <v>26</v>
      </c>
      <c r="M26" t="s">
        <v>262</v>
      </c>
      <c r="N26">
        <v>39735.11</v>
      </c>
    </row>
    <row r="27" spans="1:14" ht="14.5" customHeight="1" x14ac:dyDescent="0.35">
      <c r="A27" t="s">
        <v>668</v>
      </c>
      <c r="B27" t="s">
        <v>669</v>
      </c>
      <c r="C27">
        <v>91</v>
      </c>
      <c r="D27" t="s">
        <v>138</v>
      </c>
      <c r="E27" t="s">
        <v>115</v>
      </c>
      <c r="F27" t="s">
        <v>2517</v>
      </c>
      <c r="G27" t="s">
        <v>80</v>
      </c>
      <c r="H27">
        <v>174</v>
      </c>
      <c r="I27">
        <v>84</v>
      </c>
      <c r="J27" t="s">
        <v>46</v>
      </c>
      <c r="K27" t="s">
        <v>47</v>
      </c>
      <c r="L27" t="s">
        <v>21</v>
      </c>
      <c r="M27" t="s">
        <v>670</v>
      </c>
      <c r="N27">
        <v>43052.6</v>
      </c>
    </row>
    <row r="28" spans="1:14" ht="14.5" customHeight="1" x14ac:dyDescent="0.35">
      <c r="A28" t="s">
        <v>998</v>
      </c>
      <c r="B28" t="s">
        <v>999</v>
      </c>
      <c r="C28">
        <v>91</v>
      </c>
      <c r="D28" t="s">
        <v>29</v>
      </c>
      <c r="E28" t="s">
        <v>45</v>
      </c>
      <c r="F28" t="s">
        <v>134</v>
      </c>
      <c r="G28" t="s">
        <v>36</v>
      </c>
      <c r="H28">
        <v>194.6</v>
      </c>
      <c r="I28">
        <v>50.3</v>
      </c>
      <c r="J28" t="s">
        <v>61</v>
      </c>
      <c r="L28" t="s">
        <v>48</v>
      </c>
      <c r="M28" t="s">
        <v>1000</v>
      </c>
      <c r="N28">
        <v>19930.93</v>
      </c>
    </row>
    <row r="29" spans="1:14" ht="14.5" customHeight="1" x14ac:dyDescent="0.35">
      <c r="A29" t="s">
        <v>1082</v>
      </c>
      <c r="B29" t="s">
        <v>1083</v>
      </c>
      <c r="C29">
        <v>91</v>
      </c>
      <c r="D29" t="s">
        <v>29</v>
      </c>
      <c r="E29" t="s">
        <v>24</v>
      </c>
      <c r="F29" t="s">
        <v>17</v>
      </c>
      <c r="G29" t="s">
        <v>417</v>
      </c>
      <c r="H29">
        <v>175.4</v>
      </c>
      <c r="I29">
        <v>94</v>
      </c>
      <c r="J29" t="s">
        <v>19</v>
      </c>
      <c r="K29" t="s">
        <v>65</v>
      </c>
      <c r="L29" t="s">
        <v>42</v>
      </c>
      <c r="M29" t="s">
        <v>1084</v>
      </c>
      <c r="N29">
        <v>35724.67</v>
      </c>
    </row>
    <row r="30" spans="1:14" ht="14.5" customHeight="1" x14ac:dyDescent="0.35">
      <c r="A30" t="s">
        <v>180</v>
      </c>
      <c r="B30" t="s">
        <v>181</v>
      </c>
      <c r="C30">
        <v>90</v>
      </c>
      <c r="D30" t="s">
        <v>138</v>
      </c>
      <c r="E30" t="s">
        <v>111</v>
      </c>
      <c r="F30" t="s">
        <v>2518</v>
      </c>
      <c r="G30" t="s">
        <v>160</v>
      </c>
      <c r="H30">
        <v>155</v>
      </c>
      <c r="I30">
        <v>47</v>
      </c>
      <c r="J30" t="s">
        <v>61</v>
      </c>
      <c r="K30" t="s">
        <v>46</v>
      </c>
      <c r="L30" t="s">
        <v>103</v>
      </c>
      <c r="M30" t="s">
        <v>182</v>
      </c>
      <c r="N30">
        <v>13011.95</v>
      </c>
    </row>
    <row r="31" spans="1:14" ht="14.5" customHeight="1" x14ac:dyDescent="0.35">
      <c r="A31" t="s">
        <v>242</v>
      </c>
      <c r="B31" t="s">
        <v>243</v>
      </c>
      <c r="C31">
        <v>90</v>
      </c>
      <c r="D31" t="s">
        <v>29</v>
      </c>
      <c r="E31" t="s">
        <v>130</v>
      </c>
      <c r="F31" t="s">
        <v>17</v>
      </c>
      <c r="G31" t="s">
        <v>90</v>
      </c>
      <c r="H31">
        <v>191</v>
      </c>
      <c r="I31">
        <v>54.7</v>
      </c>
      <c r="J31" t="s">
        <v>65</v>
      </c>
      <c r="K31" t="s">
        <v>30</v>
      </c>
      <c r="L31" t="s">
        <v>69</v>
      </c>
      <c r="M31" t="s">
        <v>244</v>
      </c>
      <c r="N31">
        <v>34028.69</v>
      </c>
    </row>
    <row r="32" spans="1:14" ht="14.5" customHeight="1" x14ac:dyDescent="0.35">
      <c r="A32" t="s">
        <v>275</v>
      </c>
      <c r="B32" t="s">
        <v>276</v>
      </c>
      <c r="C32">
        <v>90</v>
      </c>
      <c r="D32" t="s">
        <v>138</v>
      </c>
      <c r="E32" t="s">
        <v>146</v>
      </c>
      <c r="F32" t="s">
        <v>134</v>
      </c>
      <c r="G32" t="s">
        <v>18</v>
      </c>
      <c r="H32">
        <v>180</v>
      </c>
      <c r="J32" t="s">
        <v>41</v>
      </c>
      <c r="K32" t="s">
        <v>85</v>
      </c>
      <c r="L32" t="s">
        <v>107</v>
      </c>
      <c r="M32" t="s">
        <v>277</v>
      </c>
      <c r="N32">
        <v>15222.43</v>
      </c>
    </row>
    <row r="33" spans="1:14" ht="14.5" customHeight="1" x14ac:dyDescent="0.35">
      <c r="A33" t="s">
        <v>526</v>
      </c>
      <c r="B33" t="s">
        <v>157</v>
      </c>
      <c r="C33">
        <v>90</v>
      </c>
      <c r="D33" t="s">
        <v>52</v>
      </c>
      <c r="E33" t="s">
        <v>45</v>
      </c>
      <c r="F33" t="s">
        <v>36</v>
      </c>
      <c r="G33" t="s">
        <v>208</v>
      </c>
      <c r="H33">
        <v>175</v>
      </c>
      <c r="I33">
        <v>118.9</v>
      </c>
      <c r="J33" t="s">
        <v>85</v>
      </c>
      <c r="K33" t="s">
        <v>20</v>
      </c>
      <c r="L33" t="s">
        <v>69</v>
      </c>
      <c r="M33" t="s">
        <v>527</v>
      </c>
      <c r="N33">
        <v>26365.759999999998</v>
      </c>
    </row>
    <row r="34" spans="1:14" ht="14.5" customHeight="1" x14ac:dyDescent="0.35">
      <c r="A34" t="s">
        <v>708</v>
      </c>
      <c r="B34" t="s">
        <v>709</v>
      </c>
      <c r="C34">
        <v>90</v>
      </c>
      <c r="D34" t="s">
        <v>52</v>
      </c>
      <c r="E34" t="s">
        <v>230</v>
      </c>
      <c r="F34" t="s">
        <v>141</v>
      </c>
      <c r="G34" t="s">
        <v>18</v>
      </c>
      <c r="H34">
        <v>172</v>
      </c>
      <c r="I34">
        <v>81.8</v>
      </c>
      <c r="J34" t="s">
        <v>94</v>
      </c>
      <c r="K34" t="s">
        <v>30</v>
      </c>
      <c r="L34" t="s">
        <v>199</v>
      </c>
      <c r="M34" t="s">
        <v>710</v>
      </c>
      <c r="N34">
        <v>41613.17</v>
      </c>
    </row>
    <row r="35" spans="1:14" ht="14.5" customHeight="1" x14ac:dyDescent="0.35">
      <c r="A35" t="s">
        <v>1129</v>
      </c>
      <c r="B35" t="s">
        <v>1130</v>
      </c>
      <c r="C35">
        <v>90</v>
      </c>
      <c r="D35" t="s">
        <v>52</v>
      </c>
      <c r="E35" t="s">
        <v>78</v>
      </c>
      <c r="F35" t="s">
        <v>134</v>
      </c>
      <c r="G35" t="s">
        <v>208</v>
      </c>
      <c r="H35">
        <v>195</v>
      </c>
      <c r="I35">
        <v>58</v>
      </c>
      <c r="J35" t="s">
        <v>61</v>
      </c>
      <c r="K35" t="s">
        <v>20</v>
      </c>
      <c r="L35" t="s">
        <v>107</v>
      </c>
      <c r="M35" t="s">
        <v>1131</v>
      </c>
      <c r="N35">
        <v>18933.3</v>
      </c>
    </row>
    <row r="36" spans="1:14" ht="14.5" customHeight="1" x14ac:dyDescent="0.35">
      <c r="A36" t="s">
        <v>1298</v>
      </c>
      <c r="B36" t="s">
        <v>1299</v>
      </c>
      <c r="C36">
        <v>90</v>
      </c>
      <c r="D36" t="s">
        <v>138</v>
      </c>
      <c r="E36" t="s">
        <v>130</v>
      </c>
      <c r="F36" t="s">
        <v>2517</v>
      </c>
      <c r="G36" t="s">
        <v>102</v>
      </c>
      <c r="H36">
        <v>180</v>
      </c>
      <c r="I36">
        <v>45.7</v>
      </c>
      <c r="J36" t="s">
        <v>94</v>
      </c>
      <c r="K36" t="s">
        <v>62</v>
      </c>
      <c r="L36" t="s">
        <v>175</v>
      </c>
      <c r="M36" t="s">
        <v>1300</v>
      </c>
      <c r="N36">
        <v>23773.11</v>
      </c>
    </row>
    <row r="37" spans="1:14" ht="14.5" customHeight="1" x14ac:dyDescent="0.35">
      <c r="A37" t="s">
        <v>1389</v>
      </c>
      <c r="B37" t="s">
        <v>2504</v>
      </c>
      <c r="C37">
        <v>90</v>
      </c>
      <c r="D37" t="s">
        <v>138</v>
      </c>
      <c r="E37" t="s">
        <v>24</v>
      </c>
      <c r="F37" t="s">
        <v>36</v>
      </c>
      <c r="G37" t="s">
        <v>160</v>
      </c>
      <c r="H37">
        <v>157</v>
      </c>
      <c r="I37">
        <v>104.4</v>
      </c>
      <c r="J37" t="s">
        <v>19</v>
      </c>
      <c r="L37" t="s">
        <v>86</v>
      </c>
      <c r="M37" t="s">
        <v>1390</v>
      </c>
      <c r="N37">
        <v>33280.06</v>
      </c>
    </row>
    <row r="38" spans="1:14" ht="14.5" customHeight="1" x14ac:dyDescent="0.35">
      <c r="A38" t="s">
        <v>159</v>
      </c>
      <c r="B38" t="s">
        <v>2412</v>
      </c>
      <c r="C38">
        <v>89</v>
      </c>
      <c r="D38" t="s">
        <v>138</v>
      </c>
      <c r="E38" t="s">
        <v>59</v>
      </c>
      <c r="F38" t="s">
        <v>17</v>
      </c>
      <c r="G38" t="s">
        <v>160</v>
      </c>
      <c r="H38">
        <v>175</v>
      </c>
      <c r="I38">
        <v>80.8</v>
      </c>
      <c r="J38" t="s">
        <v>85</v>
      </c>
      <c r="K38" t="s">
        <v>20</v>
      </c>
      <c r="L38" t="s">
        <v>26</v>
      </c>
      <c r="M38" t="s">
        <v>161</v>
      </c>
      <c r="N38">
        <v>6417.96</v>
      </c>
    </row>
    <row r="39" spans="1:14" ht="14.5" customHeight="1" x14ac:dyDescent="0.35">
      <c r="A39" t="s">
        <v>159</v>
      </c>
      <c r="B39" t="s">
        <v>2412</v>
      </c>
      <c r="C39">
        <v>89</v>
      </c>
      <c r="D39" t="s">
        <v>138</v>
      </c>
      <c r="E39" t="s">
        <v>59</v>
      </c>
      <c r="F39" t="s">
        <v>17</v>
      </c>
      <c r="G39" t="s">
        <v>160</v>
      </c>
      <c r="H39">
        <v>182</v>
      </c>
      <c r="I39">
        <v>80.8</v>
      </c>
      <c r="J39" t="s">
        <v>85</v>
      </c>
      <c r="K39" t="s">
        <v>20</v>
      </c>
      <c r="L39" t="s">
        <v>26</v>
      </c>
      <c r="M39" t="s">
        <v>161</v>
      </c>
      <c r="N39">
        <v>6417.96</v>
      </c>
    </row>
    <row r="40" spans="1:14" ht="14.5" customHeight="1" x14ac:dyDescent="0.35">
      <c r="A40" t="s">
        <v>291</v>
      </c>
      <c r="B40" t="s">
        <v>292</v>
      </c>
      <c r="C40">
        <v>89</v>
      </c>
      <c r="D40" t="s">
        <v>138</v>
      </c>
      <c r="E40" t="s">
        <v>45</v>
      </c>
      <c r="F40" t="s">
        <v>36</v>
      </c>
      <c r="G40" t="s">
        <v>35</v>
      </c>
      <c r="H40">
        <v>175</v>
      </c>
      <c r="I40">
        <v>75.599999999999994</v>
      </c>
      <c r="K40" t="s">
        <v>46</v>
      </c>
      <c r="L40" t="s">
        <v>226</v>
      </c>
      <c r="M40" t="s">
        <v>293</v>
      </c>
      <c r="N40">
        <v>4280.78</v>
      </c>
    </row>
    <row r="41" spans="1:14" ht="14.5" customHeight="1" x14ac:dyDescent="0.35">
      <c r="A41" t="s">
        <v>385</v>
      </c>
      <c r="B41" t="s">
        <v>2427</v>
      </c>
      <c r="C41">
        <v>89</v>
      </c>
      <c r="D41" t="s">
        <v>138</v>
      </c>
      <c r="E41" t="s">
        <v>146</v>
      </c>
      <c r="F41" t="s">
        <v>273</v>
      </c>
      <c r="G41" t="s">
        <v>36</v>
      </c>
      <c r="H41">
        <v>151</v>
      </c>
      <c r="I41">
        <v>78</v>
      </c>
      <c r="J41" t="s">
        <v>41</v>
      </c>
      <c r="K41" t="s">
        <v>62</v>
      </c>
      <c r="L41" t="s">
        <v>86</v>
      </c>
      <c r="M41" t="s">
        <v>386</v>
      </c>
      <c r="N41">
        <v>27528.19</v>
      </c>
    </row>
    <row r="42" spans="1:14" ht="14.5" customHeight="1" x14ac:dyDescent="0.35">
      <c r="A42" t="s">
        <v>682</v>
      </c>
      <c r="B42" t="s">
        <v>683</v>
      </c>
      <c r="C42">
        <v>89</v>
      </c>
      <c r="D42" t="s">
        <v>138</v>
      </c>
      <c r="E42" t="s">
        <v>146</v>
      </c>
      <c r="F42" t="s">
        <v>36</v>
      </c>
      <c r="G42" t="s">
        <v>198</v>
      </c>
      <c r="H42">
        <v>177.8</v>
      </c>
      <c r="I42">
        <v>90</v>
      </c>
      <c r="L42" t="s">
        <v>69</v>
      </c>
      <c r="M42" t="s">
        <v>684</v>
      </c>
      <c r="N42">
        <v>29524</v>
      </c>
    </row>
    <row r="43" spans="1:14" ht="14.5" customHeight="1" x14ac:dyDescent="0.35">
      <c r="A43" t="s">
        <v>732</v>
      </c>
      <c r="B43" t="s">
        <v>733</v>
      </c>
      <c r="C43">
        <v>89</v>
      </c>
      <c r="D43" t="s">
        <v>138</v>
      </c>
      <c r="E43" t="s">
        <v>53</v>
      </c>
      <c r="F43" t="s">
        <v>36</v>
      </c>
      <c r="G43" t="s">
        <v>54</v>
      </c>
      <c r="H43">
        <v>167</v>
      </c>
      <c r="I43">
        <v>500</v>
      </c>
      <c r="J43" t="s">
        <v>95</v>
      </c>
      <c r="L43" t="s">
        <v>226</v>
      </c>
      <c r="M43" t="s">
        <v>734</v>
      </c>
      <c r="N43">
        <v>36918.42</v>
      </c>
    </row>
    <row r="44" spans="1:14" ht="14.5" customHeight="1" x14ac:dyDescent="0.35">
      <c r="A44" t="s">
        <v>761</v>
      </c>
      <c r="B44" t="s">
        <v>762</v>
      </c>
      <c r="C44">
        <v>89</v>
      </c>
      <c r="D44" t="s">
        <v>138</v>
      </c>
      <c r="E44" t="s">
        <v>78</v>
      </c>
      <c r="F44" t="s">
        <v>17</v>
      </c>
      <c r="G44" t="s">
        <v>124</v>
      </c>
      <c r="H44">
        <v>0</v>
      </c>
      <c r="I44">
        <v>44</v>
      </c>
      <c r="J44" t="s">
        <v>20</v>
      </c>
      <c r="K44" t="s">
        <v>95</v>
      </c>
      <c r="L44" t="s">
        <v>107</v>
      </c>
      <c r="M44" t="s">
        <v>763</v>
      </c>
      <c r="N44">
        <v>30306.15</v>
      </c>
    </row>
    <row r="45" spans="1:14" ht="14.5" customHeight="1" x14ac:dyDescent="0.35">
      <c r="A45" t="s">
        <v>830</v>
      </c>
      <c r="B45" t="s">
        <v>831</v>
      </c>
      <c r="C45">
        <v>89</v>
      </c>
      <c r="D45" t="s">
        <v>138</v>
      </c>
      <c r="E45" t="s">
        <v>130</v>
      </c>
      <c r="F45" t="s">
        <v>36</v>
      </c>
      <c r="G45" t="s">
        <v>280</v>
      </c>
      <c r="H45">
        <v>187</v>
      </c>
      <c r="I45">
        <v>66</v>
      </c>
      <c r="J45" t="s">
        <v>19</v>
      </c>
      <c r="K45" t="s">
        <v>142</v>
      </c>
      <c r="L45" t="s">
        <v>48</v>
      </c>
      <c r="M45" t="s">
        <v>832</v>
      </c>
      <c r="N45">
        <v>44167.02</v>
      </c>
    </row>
    <row r="46" spans="1:14" ht="14.5" customHeight="1" x14ac:dyDescent="0.35">
      <c r="A46" t="s">
        <v>957</v>
      </c>
      <c r="B46" t="s">
        <v>958</v>
      </c>
      <c r="C46">
        <v>89</v>
      </c>
      <c r="D46" t="s">
        <v>29</v>
      </c>
      <c r="E46" t="s">
        <v>45</v>
      </c>
      <c r="F46" t="s">
        <v>2518</v>
      </c>
      <c r="G46" t="s">
        <v>60</v>
      </c>
      <c r="H46">
        <v>145.6</v>
      </c>
      <c r="I46">
        <v>66</v>
      </c>
      <c r="J46" t="s">
        <v>65</v>
      </c>
      <c r="K46" t="s">
        <v>95</v>
      </c>
      <c r="L46" t="s">
        <v>107</v>
      </c>
      <c r="M46" t="s">
        <v>959</v>
      </c>
      <c r="N46">
        <v>7823.73</v>
      </c>
    </row>
    <row r="47" spans="1:14" ht="14.5" customHeight="1" x14ac:dyDescent="0.35">
      <c r="A47" t="s">
        <v>975</v>
      </c>
      <c r="B47" t="s">
        <v>2469</v>
      </c>
      <c r="C47">
        <v>89</v>
      </c>
      <c r="D47" t="s">
        <v>138</v>
      </c>
      <c r="E47" t="s">
        <v>119</v>
      </c>
      <c r="F47" t="s">
        <v>17</v>
      </c>
      <c r="G47" t="s">
        <v>35</v>
      </c>
      <c r="H47">
        <v>177</v>
      </c>
      <c r="I47">
        <v>54.6</v>
      </c>
      <c r="J47" t="s">
        <v>19</v>
      </c>
      <c r="K47" t="s">
        <v>62</v>
      </c>
      <c r="L47" t="s">
        <v>226</v>
      </c>
      <c r="M47" t="s">
        <v>976</v>
      </c>
      <c r="N47">
        <v>11539.74</v>
      </c>
    </row>
    <row r="48" spans="1:14" ht="14.5" customHeight="1" x14ac:dyDescent="0.35">
      <c r="A48" t="s">
        <v>1220</v>
      </c>
      <c r="B48" t="s">
        <v>586</v>
      </c>
      <c r="C48">
        <v>89</v>
      </c>
      <c r="D48" t="s">
        <v>29</v>
      </c>
      <c r="E48" t="s">
        <v>130</v>
      </c>
      <c r="F48" t="s">
        <v>273</v>
      </c>
      <c r="G48" t="s">
        <v>198</v>
      </c>
      <c r="H48">
        <v>153.80000000000001</v>
      </c>
      <c r="I48">
        <v>72.599999999999994</v>
      </c>
      <c r="J48" t="s">
        <v>36</v>
      </c>
      <c r="K48" t="s">
        <v>47</v>
      </c>
      <c r="L48" t="s">
        <v>199</v>
      </c>
      <c r="M48" t="s">
        <v>1221</v>
      </c>
      <c r="N48">
        <v>34452.69</v>
      </c>
    </row>
    <row r="49" spans="1:14" ht="14.5" customHeight="1" x14ac:dyDescent="0.35">
      <c r="A49" t="s">
        <v>602</v>
      </c>
      <c r="B49" t="s">
        <v>603</v>
      </c>
      <c r="C49">
        <v>88</v>
      </c>
      <c r="D49" t="s">
        <v>29</v>
      </c>
      <c r="E49" t="s">
        <v>130</v>
      </c>
      <c r="F49" t="s">
        <v>36</v>
      </c>
      <c r="G49" t="s">
        <v>280</v>
      </c>
      <c r="H49">
        <v>185.5</v>
      </c>
      <c r="I49">
        <v>86</v>
      </c>
      <c r="J49" t="s">
        <v>65</v>
      </c>
      <c r="K49" t="s">
        <v>62</v>
      </c>
      <c r="L49" t="s">
        <v>143</v>
      </c>
      <c r="M49" t="s">
        <v>604</v>
      </c>
      <c r="N49">
        <v>13115.58</v>
      </c>
    </row>
    <row r="50" spans="1:14" ht="14.5" customHeight="1" x14ac:dyDescent="0.35">
      <c r="A50" t="s">
        <v>771</v>
      </c>
      <c r="B50" t="s">
        <v>772</v>
      </c>
      <c r="C50">
        <v>88</v>
      </c>
      <c r="D50" t="s">
        <v>29</v>
      </c>
      <c r="E50" t="s">
        <v>146</v>
      </c>
      <c r="F50" t="s">
        <v>2518</v>
      </c>
      <c r="G50" t="s">
        <v>74</v>
      </c>
      <c r="H50">
        <v>182</v>
      </c>
      <c r="I50">
        <v>90.7</v>
      </c>
      <c r="J50" t="s">
        <v>65</v>
      </c>
      <c r="K50" t="s">
        <v>47</v>
      </c>
      <c r="L50" t="s">
        <v>55</v>
      </c>
      <c r="M50" t="s">
        <v>773</v>
      </c>
      <c r="N50">
        <v>36391.15</v>
      </c>
    </row>
    <row r="51" spans="1:14" ht="14.5" customHeight="1" x14ac:dyDescent="0.35">
      <c r="A51" t="s">
        <v>399</v>
      </c>
      <c r="B51" t="s">
        <v>400</v>
      </c>
      <c r="C51">
        <v>87</v>
      </c>
      <c r="D51" t="s">
        <v>29</v>
      </c>
      <c r="E51" t="s">
        <v>115</v>
      </c>
      <c r="F51" t="s">
        <v>36</v>
      </c>
      <c r="G51" t="s">
        <v>160</v>
      </c>
      <c r="H51">
        <v>153</v>
      </c>
      <c r="I51">
        <v>45</v>
      </c>
      <c r="J51" t="s">
        <v>85</v>
      </c>
      <c r="K51" t="s">
        <v>20</v>
      </c>
      <c r="L51" t="s">
        <v>42</v>
      </c>
      <c r="M51" t="s">
        <v>401</v>
      </c>
      <c r="N51">
        <v>14827.63</v>
      </c>
    </row>
    <row r="52" spans="1:14" ht="14.5" customHeight="1" x14ac:dyDescent="0.35">
      <c r="A52" t="s">
        <v>856</v>
      </c>
      <c r="B52" t="s">
        <v>857</v>
      </c>
      <c r="C52">
        <v>87</v>
      </c>
      <c r="D52" t="s">
        <v>138</v>
      </c>
      <c r="E52" t="s">
        <v>24</v>
      </c>
      <c r="F52" t="s">
        <v>36</v>
      </c>
      <c r="G52" t="s">
        <v>60</v>
      </c>
      <c r="H52">
        <v>179</v>
      </c>
      <c r="I52">
        <v>56</v>
      </c>
      <c r="J52" t="s">
        <v>85</v>
      </c>
      <c r="K52" t="s">
        <v>95</v>
      </c>
      <c r="L52" t="s">
        <v>86</v>
      </c>
      <c r="M52" t="s">
        <v>858</v>
      </c>
      <c r="N52">
        <v>36810.46</v>
      </c>
    </row>
    <row r="53" spans="1:14" ht="14.5" customHeight="1" x14ac:dyDescent="0.35">
      <c r="A53" t="s">
        <v>915</v>
      </c>
      <c r="B53" t="s">
        <v>1426</v>
      </c>
      <c r="C53">
        <v>87</v>
      </c>
      <c r="D53" t="s">
        <v>29</v>
      </c>
      <c r="E53" t="s">
        <v>24</v>
      </c>
      <c r="F53" t="s">
        <v>134</v>
      </c>
      <c r="G53" t="s">
        <v>112</v>
      </c>
      <c r="H53">
        <v>180</v>
      </c>
      <c r="I53">
        <v>78</v>
      </c>
      <c r="J53" t="s">
        <v>36</v>
      </c>
      <c r="K53" t="s">
        <v>47</v>
      </c>
      <c r="L53" t="s">
        <v>103</v>
      </c>
      <c r="M53" t="s">
        <v>1427</v>
      </c>
      <c r="N53">
        <v>31957.33</v>
      </c>
    </row>
    <row r="54" spans="1:14" ht="14.5" customHeight="1" x14ac:dyDescent="0.35">
      <c r="A54" t="s">
        <v>67</v>
      </c>
      <c r="B54" t="s">
        <v>68</v>
      </c>
      <c r="C54">
        <v>86</v>
      </c>
      <c r="D54" t="s">
        <v>29</v>
      </c>
      <c r="E54" t="s">
        <v>146</v>
      </c>
      <c r="F54" t="s">
        <v>2517</v>
      </c>
      <c r="G54" t="s">
        <v>160</v>
      </c>
      <c r="H54">
        <v>165</v>
      </c>
      <c r="I54">
        <v>93</v>
      </c>
      <c r="J54" t="s">
        <v>36</v>
      </c>
      <c r="K54" t="s">
        <v>20</v>
      </c>
      <c r="L54" t="s">
        <v>69</v>
      </c>
      <c r="M54" t="s">
        <v>70</v>
      </c>
      <c r="N54">
        <v>31739.599999999999</v>
      </c>
    </row>
    <row r="55" spans="1:14" ht="14.5" customHeight="1" x14ac:dyDescent="0.35">
      <c r="A55" t="s">
        <v>368</v>
      </c>
      <c r="B55" t="s">
        <v>369</v>
      </c>
      <c r="C55">
        <v>86</v>
      </c>
      <c r="D55" t="s">
        <v>138</v>
      </c>
      <c r="E55" t="s">
        <v>78</v>
      </c>
      <c r="F55" t="s">
        <v>79</v>
      </c>
      <c r="G55" t="s">
        <v>35</v>
      </c>
      <c r="H55">
        <v>154.80000000000001</v>
      </c>
      <c r="I55">
        <v>82.4</v>
      </c>
      <c r="K55" t="s">
        <v>142</v>
      </c>
      <c r="L55" t="s">
        <v>42</v>
      </c>
      <c r="M55" t="s">
        <v>370</v>
      </c>
      <c r="N55">
        <v>45029.760000000002</v>
      </c>
    </row>
    <row r="56" spans="1:14" ht="14.5" customHeight="1" x14ac:dyDescent="0.35">
      <c r="A56" t="s">
        <v>528</v>
      </c>
      <c r="B56" t="s">
        <v>529</v>
      </c>
      <c r="C56">
        <v>86</v>
      </c>
      <c r="D56" t="s">
        <v>29</v>
      </c>
      <c r="E56" t="s">
        <v>89</v>
      </c>
      <c r="F56" t="s">
        <v>273</v>
      </c>
      <c r="G56" t="s">
        <v>80</v>
      </c>
      <c r="H56">
        <v>192.6</v>
      </c>
      <c r="I56">
        <v>128</v>
      </c>
      <c r="J56" t="s">
        <v>65</v>
      </c>
      <c r="K56" t="s">
        <v>95</v>
      </c>
      <c r="L56" t="s">
        <v>143</v>
      </c>
      <c r="M56" t="s">
        <v>530</v>
      </c>
      <c r="N56">
        <v>44732.33</v>
      </c>
    </row>
    <row r="57" spans="1:14" ht="14.5" customHeight="1" x14ac:dyDescent="0.35">
      <c r="A57" t="s">
        <v>701</v>
      </c>
      <c r="B57" t="s">
        <v>807</v>
      </c>
      <c r="C57">
        <v>86</v>
      </c>
      <c r="D57" t="s">
        <v>29</v>
      </c>
      <c r="E57" t="s">
        <v>130</v>
      </c>
      <c r="F57" t="s">
        <v>2518</v>
      </c>
      <c r="G57" t="s">
        <v>35</v>
      </c>
      <c r="H57">
        <v>184</v>
      </c>
      <c r="I57">
        <v>103.2</v>
      </c>
      <c r="K57" t="s">
        <v>65</v>
      </c>
      <c r="L57" t="s">
        <v>55</v>
      </c>
      <c r="M57" t="s">
        <v>702</v>
      </c>
      <c r="N57">
        <v>23231.65</v>
      </c>
    </row>
    <row r="58" spans="1:14" ht="14.5" customHeight="1" x14ac:dyDescent="0.35">
      <c r="A58" t="s">
        <v>706</v>
      </c>
      <c r="B58" t="s">
        <v>505</v>
      </c>
      <c r="C58">
        <v>86</v>
      </c>
      <c r="D58" t="s">
        <v>138</v>
      </c>
      <c r="E58" t="s">
        <v>73</v>
      </c>
      <c r="F58" t="s">
        <v>79</v>
      </c>
      <c r="G58" t="s">
        <v>102</v>
      </c>
      <c r="H58">
        <v>186</v>
      </c>
      <c r="I58">
        <v>88.2</v>
      </c>
      <c r="J58" t="s">
        <v>85</v>
      </c>
      <c r="K58" t="s">
        <v>19</v>
      </c>
      <c r="L58" t="s">
        <v>107</v>
      </c>
      <c r="M58" t="s">
        <v>707</v>
      </c>
      <c r="N58">
        <v>31416.33</v>
      </c>
    </row>
    <row r="59" spans="1:14" ht="14.5" customHeight="1" x14ac:dyDescent="0.35">
      <c r="A59" t="s">
        <v>934</v>
      </c>
      <c r="B59" t="s">
        <v>935</v>
      </c>
      <c r="C59">
        <v>86</v>
      </c>
      <c r="D59" t="s">
        <v>138</v>
      </c>
      <c r="E59" t="s">
        <v>24</v>
      </c>
      <c r="F59" t="s">
        <v>79</v>
      </c>
      <c r="G59" t="s">
        <v>160</v>
      </c>
      <c r="H59">
        <v>156</v>
      </c>
      <c r="I59">
        <v>74.7</v>
      </c>
      <c r="J59" t="s">
        <v>46</v>
      </c>
      <c r="K59" t="s">
        <v>85</v>
      </c>
      <c r="L59" t="s">
        <v>199</v>
      </c>
      <c r="M59" t="s">
        <v>936</v>
      </c>
      <c r="N59">
        <v>26768.93</v>
      </c>
    </row>
    <row r="60" spans="1:14" ht="14.5" customHeight="1" x14ac:dyDescent="0.35">
      <c r="A60" t="s">
        <v>368</v>
      </c>
      <c r="B60" t="s">
        <v>369</v>
      </c>
      <c r="C60">
        <v>86</v>
      </c>
      <c r="D60" t="s">
        <v>138</v>
      </c>
      <c r="E60" t="s">
        <v>78</v>
      </c>
      <c r="F60" t="s">
        <v>79</v>
      </c>
      <c r="G60" t="s">
        <v>35</v>
      </c>
      <c r="H60">
        <v>173</v>
      </c>
      <c r="I60">
        <v>82.4</v>
      </c>
      <c r="K60" t="s">
        <v>142</v>
      </c>
      <c r="L60" t="s">
        <v>42</v>
      </c>
      <c r="M60" t="s">
        <v>370</v>
      </c>
      <c r="N60">
        <v>45029.760000000002</v>
      </c>
    </row>
    <row r="61" spans="1:14" ht="14.5" customHeight="1" x14ac:dyDescent="0.35">
      <c r="A61" t="s">
        <v>1224</v>
      </c>
      <c r="B61" t="s">
        <v>1225</v>
      </c>
      <c r="C61">
        <v>86</v>
      </c>
      <c r="D61" t="s">
        <v>138</v>
      </c>
      <c r="E61" t="s">
        <v>119</v>
      </c>
      <c r="F61" t="s">
        <v>17</v>
      </c>
      <c r="G61" t="s">
        <v>191</v>
      </c>
      <c r="H61">
        <v>158.4</v>
      </c>
      <c r="I61">
        <v>100</v>
      </c>
      <c r="J61" t="s">
        <v>41</v>
      </c>
      <c r="L61" t="s">
        <v>107</v>
      </c>
      <c r="M61" t="s">
        <v>1226</v>
      </c>
      <c r="N61">
        <v>21312.09</v>
      </c>
    </row>
    <row r="62" spans="1:14" ht="14.5" customHeight="1" x14ac:dyDescent="0.35">
      <c r="A62" t="s">
        <v>1255</v>
      </c>
      <c r="B62" t="s">
        <v>1256</v>
      </c>
      <c r="C62">
        <v>86</v>
      </c>
      <c r="D62" t="s">
        <v>138</v>
      </c>
      <c r="E62" t="s">
        <v>45</v>
      </c>
      <c r="F62" t="s">
        <v>17</v>
      </c>
      <c r="G62" t="s">
        <v>25</v>
      </c>
      <c r="H62">
        <v>153.6</v>
      </c>
      <c r="J62" t="s">
        <v>46</v>
      </c>
      <c r="K62" t="s">
        <v>46</v>
      </c>
      <c r="L62" t="s">
        <v>107</v>
      </c>
      <c r="M62" t="s">
        <v>1257</v>
      </c>
      <c r="N62">
        <v>4836.13</v>
      </c>
    </row>
    <row r="63" spans="1:14" ht="14.5" customHeight="1" x14ac:dyDescent="0.35">
      <c r="A63" t="s">
        <v>1301</v>
      </c>
      <c r="B63" t="s">
        <v>2496</v>
      </c>
      <c r="C63">
        <v>86</v>
      </c>
      <c r="D63" t="s">
        <v>29</v>
      </c>
      <c r="E63" t="s">
        <v>45</v>
      </c>
      <c r="F63" t="s">
        <v>17</v>
      </c>
      <c r="G63" t="s">
        <v>80</v>
      </c>
      <c r="H63">
        <v>171.6</v>
      </c>
      <c r="I63">
        <v>82.3</v>
      </c>
      <c r="J63" t="s">
        <v>46</v>
      </c>
      <c r="K63" t="s">
        <v>85</v>
      </c>
      <c r="L63" t="s">
        <v>55</v>
      </c>
      <c r="M63" t="s">
        <v>1302</v>
      </c>
      <c r="N63">
        <v>39531.74</v>
      </c>
    </row>
    <row r="64" spans="1:14" ht="14.5" customHeight="1" x14ac:dyDescent="0.35">
      <c r="A64" t="s">
        <v>288</v>
      </c>
      <c r="B64" t="s">
        <v>289</v>
      </c>
      <c r="C64">
        <v>85</v>
      </c>
      <c r="D64" t="s">
        <v>138</v>
      </c>
      <c r="E64" t="s">
        <v>115</v>
      </c>
      <c r="F64" t="s">
        <v>120</v>
      </c>
      <c r="G64" t="s">
        <v>80</v>
      </c>
      <c r="H64">
        <v>181.3</v>
      </c>
      <c r="I64">
        <v>91</v>
      </c>
      <c r="J64" t="s">
        <v>61</v>
      </c>
      <c r="L64" t="s">
        <v>42</v>
      </c>
      <c r="M64" t="s">
        <v>290</v>
      </c>
    </row>
    <row r="65" spans="1:14" ht="14.5" customHeight="1" x14ac:dyDescent="0.35">
      <c r="A65" t="s">
        <v>402</v>
      </c>
      <c r="B65" t="s">
        <v>403</v>
      </c>
      <c r="C65">
        <v>85</v>
      </c>
      <c r="D65" t="s">
        <v>52</v>
      </c>
      <c r="E65" t="s">
        <v>53</v>
      </c>
      <c r="F65" t="s">
        <v>17</v>
      </c>
      <c r="G65" t="s">
        <v>60</v>
      </c>
      <c r="H65">
        <v>192</v>
      </c>
      <c r="I65">
        <v>110.6</v>
      </c>
      <c r="J65" t="s">
        <v>20</v>
      </c>
      <c r="K65" t="s">
        <v>30</v>
      </c>
      <c r="L65" t="s">
        <v>226</v>
      </c>
      <c r="M65" t="s">
        <v>404</v>
      </c>
      <c r="N65">
        <v>48669.43</v>
      </c>
    </row>
    <row r="66" spans="1:14" ht="14.5" customHeight="1" x14ac:dyDescent="0.35">
      <c r="A66" t="s">
        <v>520</v>
      </c>
      <c r="B66" t="s">
        <v>521</v>
      </c>
      <c r="C66">
        <v>85</v>
      </c>
      <c r="D66" t="s">
        <v>138</v>
      </c>
      <c r="E66" t="s">
        <v>16</v>
      </c>
      <c r="F66" t="s">
        <v>273</v>
      </c>
      <c r="G66" t="s">
        <v>18</v>
      </c>
      <c r="H66">
        <v>162</v>
      </c>
      <c r="I66">
        <v>42.8</v>
      </c>
      <c r="J66" t="s">
        <v>65</v>
      </c>
      <c r="K66" t="s">
        <v>47</v>
      </c>
      <c r="L66" t="s">
        <v>31</v>
      </c>
      <c r="M66" t="s">
        <v>522</v>
      </c>
    </row>
    <row r="67" spans="1:14" ht="14.5" customHeight="1" x14ac:dyDescent="0.35">
      <c r="A67" t="s">
        <v>703</v>
      </c>
      <c r="B67" t="s">
        <v>704</v>
      </c>
      <c r="C67">
        <v>85</v>
      </c>
      <c r="D67" t="s">
        <v>29</v>
      </c>
      <c r="E67" t="s">
        <v>59</v>
      </c>
      <c r="F67" t="s">
        <v>2517</v>
      </c>
      <c r="G67" t="s">
        <v>280</v>
      </c>
      <c r="H67">
        <v>175.7</v>
      </c>
      <c r="I67">
        <v>88.9</v>
      </c>
      <c r="J67" t="s">
        <v>65</v>
      </c>
      <c r="K67" t="s">
        <v>20</v>
      </c>
      <c r="L67" t="s">
        <v>26</v>
      </c>
      <c r="M67" t="s">
        <v>705</v>
      </c>
      <c r="N67">
        <v>48483.43</v>
      </c>
    </row>
    <row r="68" spans="1:14" ht="14.5" customHeight="1" x14ac:dyDescent="0.35">
      <c r="A68" t="s">
        <v>715</v>
      </c>
      <c r="B68" t="s">
        <v>2445</v>
      </c>
      <c r="C68">
        <v>85</v>
      </c>
      <c r="D68" t="s">
        <v>52</v>
      </c>
      <c r="E68" t="s">
        <v>230</v>
      </c>
      <c r="F68" t="s">
        <v>141</v>
      </c>
      <c r="G68" t="s">
        <v>102</v>
      </c>
      <c r="H68">
        <v>171</v>
      </c>
      <c r="I68">
        <v>128.4</v>
      </c>
      <c r="J68" t="s">
        <v>61</v>
      </c>
      <c r="K68" t="s">
        <v>142</v>
      </c>
      <c r="L68" t="s">
        <v>226</v>
      </c>
      <c r="M68" t="s">
        <v>716</v>
      </c>
      <c r="N68">
        <v>26490.25</v>
      </c>
    </row>
    <row r="69" spans="1:14" ht="14.5" customHeight="1" x14ac:dyDescent="0.35">
      <c r="A69" t="s">
        <v>928</v>
      </c>
      <c r="B69" t="s">
        <v>929</v>
      </c>
      <c r="C69">
        <v>85</v>
      </c>
      <c r="D69" t="s">
        <v>138</v>
      </c>
      <c r="E69" t="s">
        <v>111</v>
      </c>
      <c r="F69" t="s">
        <v>2517</v>
      </c>
      <c r="G69" t="s">
        <v>60</v>
      </c>
      <c r="H69">
        <v>190.5</v>
      </c>
      <c r="I69">
        <v>76.099999999999994</v>
      </c>
      <c r="J69" t="s">
        <v>61</v>
      </c>
      <c r="K69" t="s">
        <v>30</v>
      </c>
      <c r="L69" t="s">
        <v>55</v>
      </c>
      <c r="M69" t="s">
        <v>930</v>
      </c>
      <c r="N69">
        <v>19760.63</v>
      </c>
    </row>
    <row r="70" spans="1:14" ht="14.5" customHeight="1" x14ac:dyDescent="0.35">
      <c r="A70" t="s">
        <v>1123</v>
      </c>
      <c r="B70" t="s">
        <v>1124</v>
      </c>
      <c r="C70">
        <v>85</v>
      </c>
      <c r="D70" t="s">
        <v>52</v>
      </c>
      <c r="E70" t="s">
        <v>24</v>
      </c>
      <c r="F70" t="s">
        <v>141</v>
      </c>
      <c r="G70" t="s">
        <v>198</v>
      </c>
      <c r="H70">
        <v>164</v>
      </c>
      <c r="I70">
        <v>94</v>
      </c>
      <c r="J70" t="s">
        <v>95</v>
      </c>
      <c r="K70" t="s">
        <v>142</v>
      </c>
      <c r="L70" t="s">
        <v>55</v>
      </c>
      <c r="M70" t="s">
        <v>1125</v>
      </c>
      <c r="N70">
        <v>-100</v>
      </c>
    </row>
    <row r="71" spans="1:14" ht="14.5" customHeight="1" x14ac:dyDescent="0.35">
      <c r="A71" t="s">
        <v>1163</v>
      </c>
      <c r="B71" t="s">
        <v>2486</v>
      </c>
      <c r="C71">
        <v>85</v>
      </c>
      <c r="D71" t="s">
        <v>138</v>
      </c>
      <c r="E71" t="s">
        <v>53</v>
      </c>
      <c r="F71" t="s">
        <v>120</v>
      </c>
      <c r="G71" t="s">
        <v>60</v>
      </c>
      <c r="H71">
        <v>163</v>
      </c>
      <c r="J71" t="s">
        <v>46</v>
      </c>
      <c r="K71" t="s">
        <v>62</v>
      </c>
      <c r="L71" t="s">
        <v>143</v>
      </c>
      <c r="M71" t="s">
        <v>1164</v>
      </c>
      <c r="N71">
        <v>3399.95</v>
      </c>
    </row>
    <row r="72" spans="1:14" ht="14.5" customHeight="1" x14ac:dyDescent="0.35">
      <c r="A72" t="s">
        <v>323</v>
      </c>
      <c r="B72" t="s">
        <v>324</v>
      </c>
      <c r="C72">
        <v>84</v>
      </c>
      <c r="D72" t="s">
        <v>29</v>
      </c>
      <c r="E72" t="s">
        <v>24</v>
      </c>
      <c r="F72" t="s">
        <v>2517</v>
      </c>
      <c r="G72" t="s">
        <v>60</v>
      </c>
      <c r="H72">
        <v>192</v>
      </c>
      <c r="I72">
        <v>109</v>
      </c>
      <c r="J72" t="s">
        <v>94</v>
      </c>
      <c r="K72" t="s">
        <v>47</v>
      </c>
      <c r="L72" t="s">
        <v>69</v>
      </c>
      <c r="M72" t="s">
        <v>325</v>
      </c>
      <c r="N72">
        <v>45169.56</v>
      </c>
    </row>
    <row r="73" spans="1:14" ht="14.5" customHeight="1" x14ac:dyDescent="0.35">
      <c r="A73" t="s">
        <v>460</v>
      </c>
      <c r="B73" t="s">
        <v>461</v>
      </c>
      <c r="C73">
        <v>84</v>
      </c>
      <c r="D73" t="s">
        <v>138</v>
      </c>
      <c r="E73" t="s">
        <v>24</v>
      </c>
      <c r="F73" t="s">
        <v>36</v>
      </c>
      <c r="G73" t="s">
        <v>160</v>
      </c>
      <c r="H73">
        <v>194</v>
      </c>
      <c r="I73">
        <v>115</v>
      </c>
      <c r="J73" t="s">
        <v>61</v>
      </c>
      <c r="L73" t="s">
        <v>21</v>
      </c>
      <c r="M73" t="s">
        <v>462</v>
      </c>
      <c r="N73">
        <v>35527.269999999997</v>
      </c>
    </row>
    <row r="74" spans="1:14" ht="14.5" customHeight="1" x14ac:dyDescent="0.35">
      <c r="A74" t="s">
        <v>768</v>
      </c>
      <c r="B74" t="s">
        <v>769</v>
      </c>
      <c r="C74">
        <v>84</v>
      </c>
      <c r="D74" t="s">
        <v>29</v>
      </c>
      <c r="E74" t="s">
        <v>130</v>
      </c>
      <c r="F74" t="s">
        <v>120</v>
      </c>
      <c r="G74" t="s">
        <v>160</v>
      </c>
      <c r="H74">
        <v>150</v>
      </c>
      <c r="I74">
        <v>51.8</v>
      </c>
      <c r="J74" t="s">
        <v>46</v>
      </c>
      <c r="K74" t="s">
        <v>30</v>
      </c>
      <c r="L74" t="s">
        <v>199</v>
      </c>
      <c r="M74" t="s">
        <v>770</v>
      </c>
      <c r="N74">
        <v>44588.66</v>
      </c>
    </row>
    <row r="75" spans="1:14" ht="14.5" customHeight="1" x14ac:dyDescent="0.35">
      <c r="A75" t="s">
        <v>828</v>
      </c>
      <c r="B75" t="s">
        <v>485</v>
      </c>
      <c r="C75">
        <v>84</v>
      </c>
      <c r="D75" t="s">
        <v>29</v>
      </c>
      <c r="E75" t="s">
        <v>45</v>
      </c>
      <c r="F75" t="s">
        <v>273</v>
      </c>
      <c r="G75" t="s">
        <v>36</v>
      </c>
      <c r="H75">
        <v>168.7</v>
      </c>
      <c r="I75">
        <v>113.2</v>
      </c>
      <c r="J75" t="s">
        <v>41</v>
      </c>
      <c r="K75" t="s">
        <v>95</v>
      </c>
      <c r="L75" t="s">
        <v>199</v>
      </c>
      <c r="M75" t="s">
        <v>829</v>
      </c>
      <c r="N75">
        <v>23403.279999999999</v>
      </c>
    </row>
    <row r="76" spans="1:14" ht="14.5" customHeight="1" x14ac:dyDescent="0.35">
      <c r="A76" t="s">
        <v>864</v>
      </c>
      <c r="B76" t="s">
        <v>865</v>
      </c>
      <c r="C76">
        <v>84</v>
      </c>
      <c r="D76" t="s">
        <v>52</v>
      </c>
      <c r="E76" t="s">
        <v>53</v>
      </c>
      <c r="F76" t="s">
        <v>273</v>
      </c>
      <c r="G76" t="s">
        <v>35</v>
      </c>
      <c r="H76">
        <v>168</v>
      </c>
      <c r="I76">
        <v>76</v>
      </c>
      <c r="J76" t="s">
        <v>41</v>
      </c>
      <c r="K76" t="s">
        <v>142</v>
      </c>
      <c r="L76" t="s">
        <v>42</v>
      </c>
      <c r="M76" t="s">
        <v>866</v>
      </c>
      <c r="N76">
        <v>18825.54</v>
      </c>
    </row>
    <row r="77" spans="1:14" ht="14.5" customHeight="1" x14ac:dyDescent="0.35">
      <c r="A77" t="s">
        <v>987</v>
      </c>
      <c r="B77" t="s">
        <v>736</v>
      </c>
      <c r="C77">
        <v>84</v>
      </c>
      <c r="D77" t="s">
        <v>29</v>
      </c>
      <c r="E77" t="s">
        <v>53</v>
      </c>
      <c r="F77" t="s">
        <v>2517</v>
      </c>
      <c r="G77" t="s">
        <v>102</v>
      </c>
      <c r="H77">
        <v>165</v>
      </c>
      <c r="I77">
        <v>51</v>
      </c>
      <c r="J77" t="s">
        <v>19</v>
      </c>
      <c r="K77" t="s">
        <v>30</v>
      </c>
      <c r="L77" t="s">
        <v>96</v>
      </c>
      <c r="M77" t="s">
        <v>988</v>
      </c>
      <c r="N77">
        <v>34839.43</v>
      </c>
    </row>
    <row r="78" spans="1:14" ht="14.5" customHeight="1" x14ac:dyDescent="0.35">
      <c r="A78" t="s">
        <v>203</v>
      </c>
      <c r="B78" t="s">
        <v>204</v>
      </c>
      <c r="C78">
        <v>83</v>
      </c>
      <c r="D78" t="s">
        <v>138</v>
      </c>
      <c r="E78" t="s">
        <v>89</v>
      </c>
      <c r="F78" t="s">
        <v>2517</v>
      </c>
      <c r="G78" t="s">
        <v>198</v>
      </c>
      <c r="H78">
        <v>164.1</v>
      </c>
      <c r="I78">
        <v>99</v>
      </c>
      <c r="K78" t="s">
        <v>62</v>
      </c>
      <c r="L78" t="s">
        <v>31</v>
      </c>
      <c r="M78" t="s">
        <v>205</v>
      </c>
      <c r="N78">
        <v>46245.64</v>
      </c>
    </row>
    <row r="79" spans="1:14" ht="14.5" customHeight="1" x14ac:dyDescent="0.35">
      <c r="A79" t="s">
        <v>422</v>
      </c>
      <c r="B79" t="s">
        <v>423</v>
      </c>
      <c r="C79">
        <v>83</v>
      </c>
      <c r="D79" t="s">
        <v>29</v>
      </c>
      <c r="E79" t="s">
        <v>78</v>
      </c>
      <c r="F79" t="s">
        <v>141</v>
      </c>
      <c r="G79" t="s">
        <v>36</v>
      </c>
      <c r="H79">
        <v>184</v>
      </c>
      <c r="I79">
        <v>77</v>
      </c>
      <c r="J79" t="s">
        <v>65</v>
      </c>
      <c r="L79" t="s">
        <v>21</v>
      </c>
      <c r="M79" t="s">
        <v>424</v>
      </c>
      <c r="N79">
        <v>25533.78</v>
      </c>
    </row>
    <row r="80" spans="1:14" ht="14.5" customHeight="1" x14ac:dyDescent="0.35">
      <c r="A80" t="s">
        <v>659</v>
      </c>
      <c r="B80" t="s">
        <v>660</v>
      </c>
      <c r="C80">
        <v>83</v>
      </c>
      <c r="D80" t="s">
        <v>52</v>
      </c>
      <c r="E80" t="s">
        <v>146</v>
      </c>
      <c r="F80" t="s">
        <v>2518</v>
      </c>
      <c r="G80" t="s">
        <v>36</v>
      </c>
      <c r="H80">
        <v>169.5</v>
      </c>
      <c r="J80" t="s">
        <v>85</v>
      </c>
      <c r="K80" t="s">
        <v>20</v>
      </c>
      <c r="L80" t="s">
        <v>175</v>
      </c>
      <c r="M80" t="s">
        <v>661</v>
      </c>
      <c r="N80">
        <v>29235.66</v>
      </c>
    </row>
    <row r="81" spans="1:14" ht="14.5" customHeight="1" x14ac:dyDescent="0.35">
      <c r="A81" t="s">
        <v>685</v>
      </c>
      <c r="B81" t="s">
        <v>149</v>
      </c>
      <c r="C81">
        <v>83</v>
      </c>
      <c r="D81" t="s">
        <v>29</v>
      </c>
      <c r="E81" t="s">
        <v>146</v>
      </c>
      <c r="F81" t="s">
        <v>2518</v>
      </c>
      <c r="G81" t="s">
        <v>80</v>
      </c>
      <c r="H81">
        <v>189</v>
      </c>
      <c r="I81">
        <v>113.5</v>
      </c>
      <c r="J81" t="s">
        <v>65</v>
      </c>
      <c r="K81" t="s">
        <v>20</v>
      </c>
      <c r="L81" t="s">
        <v>55</v>
      </c>
      <c r="M81" t="s">
        <v>686</v>
      </c>
      <c r="N81">
        <v>38982.22</v>
      </c>
    </row>
    <row r="82" spans="1:14" ht="14.5" customHeight="1" x14ac:dyDescent="0.35">
      <c r="A82" t="s">
        <v>862</v>
      </c>
      <c r="B82" t="s">
        <v>2463</v>
      </c>
      <c r="C82">
        <v>83</v>
      </c>
      <c r="D82" t="s">
        <v>29</v>
      </c>
      <c r="E82" t="s">
        <v>24</v>
      </c>
      <c r="F82" t="s">
        <v>134</v>
      </c>
      <c r="G82" t="s">
        <v>160</v>
      </c>
      <c r="H82">
        <v>152</v>
      </c>
      <c r="I82">
        <v>123.2</v>
      </c>
      <c r="J82" t="s">
        <v>61</v>
      </c>
      <c r="K82" t="s">
        <v>30</v>
      </c>
      <c r="L82" t="s">
        <v>143</v>
      </c>
      <c r="M82" t="s">
        <v>863</v>
      </c>
      <c r="N82">
        <v>46473.93</v>
      </c>
    </row>
    <row r="83" spans="1:14" ht="14.5" customHeight="1" x14ac:dyDescent="0.35">
      <c r="A83" t="s">
        <v>1090</v>
      </c>
      <c r="B83" t="s">
        <v>163</v>
      </c>
      <c r="C83">
        <v>83</v>
      </c>
      <c r="D83" t="s">
        <v>138</v>
      </c>
      <c r="E83" t="s">
        <v>130</v>
      </c>
      <c r="F83" t="s">
        <v>2518</v>
      </c>
      <c r="G83" t="s">
        <v>36</v>
      </c>
      <c r="H83">
        <v>182</v>
      </c>
      <c r="I83">
        <v>101</v>
      </c>
      <c r="J83" t="s">
        <v>95</v>
      </c>
      <c r="L83" t="s">
        <v>175</v>
      </c>
      <c r="M83" t="s">
        <v>1091</v>
      </c>
      <c r="N83">
        <v>2511.39</v>
      </c>
    </row>
    <row r="84" spans="1:14" ht="14.5" customHeight="1" x14ac:dyDescent="0.35">
      <c r="A84" t="s">
        <v>50</v>
      </c>
      <c r="B84" t="s">
        <v>51</v>
      </c>
      <c r="C84">
        <v>82</v>
      </c>
      <c r="D84" t="s">
        <v>52</v>
      </c>
      <c r="E84" t="s">
        <v>53</v>
      </c>
      <c r="F84" t="s">
        <v>17</v>
      </c>
      <c r="G84" t="s">
        <v>54</v>
      </c>
      <c r="H84">
        <v>175.3</v>
      </c>
      <c r="I84">
        <v>92</v>
      </c>
      <c r="K84" t="s">
        <v>30</v>
      </c>
      <c r="L84" t="s">
        <v>55</v>
      </c>
      <c r="M84" t="s">
        <v>56</v>
      </c>
      <c r="N84">
        <v>2539.12</v>
      </c>
    </row>
    <row r="85" spans="1:14" ht="14.5" customHeight="1" x14ac:dyDescent="0.35">
      <c r="A85" t="s">
        <v>333</v>
      </c>
      <c r="B85" t="s">
        <v>334</v>
      </c>
      <c r="C85">
        <v>82</v>
      </c>
      <c r="D85" t="s">
        <v>138</v>
      </c>
      <c r="E85" t="s">
        <v>53</v>
      </c>
      <c r="F85" t="s">
        <v>17</v>
      </c>
      <c r="G85" t="s">
        <v>36</v>
      </c>
      <c r="H85">
        <v>153.6</v>
      </c>
      <c r="I85">
        <v>95.1</v>
      </c>
      <c r="J85" t="s">
        <v>36</v>
      </c>
      <c r="K85" t="s">
        <v>30</v>
      </c>
      <c r="L85" t="s">
        <v>96</v>
      </c>
      <c r="M85" t="s">
        <v>335</v>
      </c>
      <c r="N85">
        <v>11993.04</v>
      </c>
    </row>
    <row r="86" spans="1:14" ht="14.5" customHeight="1" x14ac:dyDescent="0.35">
      <c r="A86" t="s">
        <v>438</v>
      </c>
      <c r="B86" t="s">
        <v>439</v>
      </c>
      <c r="C86">
        <v>82</v>
      </c>
      <c r="D86" t="s">
        <v>29</v>
      </c>
      <c r="E86" t="s">
        <v>230</v>
      </c>
      <c r="F86" t="s">
        <v>36</v>
      </c>
      <c r="G86" t="s">
        <v>112</v>
      </c>
      <c r="H86">
        <v>148</v>
      </c>
      <c r="I86">
        <v>92.7</v>
      </c>
      <c r="J86" t="s">
        <v>65</v>
      </c>
      <c r="K86" t="s">
        <v>30</v>
      </c>
      <c r="L86" t="s">
        <v>107</v>
      </c>
      <c r="M86" t="s">
        <v>440</v>
      </c>
      <c r="N86">
        <v>4138.58</v>
      </c>
    </row>
    <row r="87" spans="1:14" ht="14.5" customHeight="1" x14ac:dyDescent="0.35">
      <c r="A87" t="s">
        <v>557</v>
      </c>
      <c r="B87" t="s">
        <v>558</v>
      </c>
      <c r="C87">
        <v>82</v>
      </c>
      <c r="D87" t="s">
        <v>52</v>
      </c>
      <c r="E87" t="s">
        <v>45</v>
      </c>
      <c r="F87" t="s">
        <v>273</v>
      </c>
      <c r="G87" t="s">
        <v>102</v>
      </c>
      <c r="H87">
        <v>191</v>
      </c>
      <c r="I87">
        <v>101.5</v>
      </c>
      <c r="J87" t="s">
        <v>65</v>
      </c>
      <c r="K87" t="s">
        <v>19</v>
      </c>
      <c r="L87" t="s">
        <v>96</v>
      </c>
      <c r="M87" t="s">
        <v>559</v>
      </c>
    </row>
    <row r="88" spans="1:14" ht="14.5" customHeight="1" x14ac:dyDescent="0.35">
      <c r="A88" t="s">
        <v>50</v>
      </c>
      <c r="B88" t="s">
        <v>51</v>
      </c>
      <c r="C88">
        <v>82</v>
      </c>
      <c r="D88" t="s">
        <v>52</v>
      </c>
      <c r="E88" t="s">
        <v>53</v>
      </c>
      <c r="F88" t="s">
        <v>17</v>
      </c>
      <c r="G88" t="s">
        <v>54</v>
      </c>
      <c r="H88">
        <v>147.30000000000001</v>
      </c>
      <c r="I88">
        <v>92</v>
      </c>
      <c r="K88" t="s">
        <v>30</v>
      </c>
      <c r="L88" t="s">
        <v>55</v>
      </c>
      <c r="M88" t="s">
        <v>56</v>
      </c>
      <c r="N88">
        <v>2539.12</v>
      </c>
    </row>
    <row r="89" spans="1:14" ht="14.5" customHeight="1" x14ac:dyDescent="0.35">
      <c r="A89" t="s">
        <v>779</v>
      </c>
      <c r="B89" t="s">
        <v>780</v>
      </c>
      <c r="C89">
        <v>82</v>
      </c>
      <c r="D89" t="s">
        <v>29</v>
      </c>
      <c r="E89" t="s">
        <v>130</v>
      </c>
      <c r="F89" t="s">
        <v>36</v>
      </c>
      <c r="G89" t="s">
        <v>54</v>
      </c>
      <c r="H89">
        <v>173.3</v>
      </c>
      <c r="I89">
        <v>70</v>
      </c>
      <c r="J89" t="s">
        <v>95</v>
      </c>
      <c r="K89" t="s">
        <v>95</v>
      </c>
      <c r="L89" t="s">
        <v>226</v>
      </c>
      <c r="M89" t="s">
        <v>781</v>
      </c>
      <c r="N89">
        <v>8063.86</v>
      </c>
    </row>
    <row r="90" spans="1:14" ht="14.5" customHeight="1" x14ac:dyDescent="0.35">
      <c r="A90" t="s">
        <v>798</v>
      </c>
      <c r="B90" t="s">
        <v>799</v>
      </c>
      <c r="C90">
        <v>82</v>
      </c>
      <c r="D90" t="s">
        <v>138</v>
      </c>
      <c r="E90" t="s">
        <v>217</v>
      </c>
      <c r="F90" t="s">
        <v>273</v>
      </c>
      <c r="G90" t="s">
        <v>36</v>
      </c>
      <c r="H90">
        <v>186</v>
      </c>
      <c r="I90">
        <v>50</v>
      </c>
      <c r="J90" t="s">
        <v>19</v>
      </c>
      <c r="K90" t="s">
        <v>20</v>
      </c>
      <c r="L90" t="s">
        <v>42</v>
      </c>
      <c r="M90" t="s">
        <v>800</v>
      </c>
      <c r="N90">
        <v>24526.43</v>
      </c>
    </row>
    <row r="91" spans="1:14" ht="14.5" customHeight="1" x14ac:dyDescent="0.35">
      <c r="A91" t="s">
        <v>1097</v>
      </c>
      <c r="B91" t="s">
        <v>2480</v>
      </c>
      <c r="C91">
        <v>82</v>
      </c>
      <c r="D91" t="s">
        <v>138</v>
      </c>
      <c r="E91" t="s">
        <v>53</v>
      </c>
      <c r="F91" t="s">
        <v>2517</v>
      </c>
      <c r="G91" t="s">
        <v>160</v>
      </c>
      <c r="H91">
        <v>169</v>
      </c>
      <c r="I91">
        <v>75.2</v>
      </c>
      <c r="J91" t="s">
        <v>85</v>
      </c>
      <c r="K91" t="s">
        <v>85</v>
      </c>
      <c r="L91" t="s">
        <v>226</v>
      </c>
      <c r="M91" t="s">
        <v>1098</v>
      </c>
      <c r="N91">
        <v>26243.85</v>
      </c>
    </row>
    <row r="92" spans="1:14" ht="14.5" customHeight="1" x14ac:dyDescent="0.35">
      <c r="A92" t="s">
        <v>1251</v>
      </c>
      <c r="B92" t="s">
        <v>2491</v>
      </c>
      <c r="C92">
        <v>82</v>
      </c>
      <c r="D92" t="s">
        <v>138</v>
      </c>
      <c r="E92" t="s">
        <v>146</v>
      </c>
      <c r="F92" t="s">
        <v>134</v>
      </c>
      <c r="G92" t="s">
        <v>36</v>
      </c>
      <c r="H92">
        <v>157</v>
      </c>
      <c r="I92">
        <v>40</v>
      </c>
      <c r="J92" t="s">
        <v>61</v>
      </c>
      <c r="K92" t="s">
        <v>47</v>
      </c>
      <c r="L92" t="s">
        <v>199</v>
      </c>
      <c r="M92" t="s">
        <v>1252</v>
      </c>
      <c r="N92">
        <v>39163.53</v>
      </c>
    </row>
    <row r="93" spans="1:14" ht="14.5" customHeight="1" x14ac:dyDescent="0.35">
      <c r="A93" t="s">
        <v>1310</v>
      </c>
      <c r="B93" t="s">
        <v>1311</v>
      </c>
      <c r="C93">
        <v>82</v>
      </c>
      <c r="D93" t="s">
        <v>29</v>
      </c>
      <c r="E93" t="s">
        <v>130</v>
      </c>
      <c r="F93" t="s">
        <v>2517</v>
      </c>
      <c r="G93" t="s">
        <v>417</v>
      </c>
      <c r="H93">
        <v>193</v>
      </c>
      <c r="I93">
        <v>126.3</v>
      </c>
      <c r="J93" t="s">
        <v>19</v>
      </c>
      <c r="L93" t="s">
        <v>21</v>
      </c>
      <c r="M93" t="s">
        <v>1312</v>
      </c>
      <c r="N93">
        <v>24088.18</v>
      </c>
    </row>
    <row r="94" spans="1:14" ht="14.5" customHeight="1" x14ac:dyDescent="0.35">
      <c r="A94" t="s">
        <v>1456</v>
      </c>
      <c r="B94" t="s">
        <v>1457</v>
      </c>
      <c r="C94">
        <v>82</v>
      </c>
      <c r="D94" t="s">
        <v>29</v>
      </c>
      <c r="E94" t="s">
        <v>78</v>
      </c>
      <c r="F94" t="s">
        <v>2518</v>
      </c>
      <c r="G94" t="s">
        <v>54</v>
      </c>
      <c r="H94">
        <v>192.5</v>
      </c>
      <c r="I94">
        <v>113.5</v>
      </c>
      <c r="J94" t="s">
        <v>46</v>
      </c>
      <c r="K94" t="s">
        <v>142</v>
      </c>
      <c r="L94" t="s">
        <v>42</v>
      </c>
      <c r="M94" t="s">
        <v>1458</v>
      </c>
      <c r="N94">
        <v>33029.78</v>
      </c>
    </row>
    <row r="95" spans="1:14" ht="14.5" customHeight="1" x14ac:dyDescent="0.35">
      <c r="A95" t="s">
        <v>162</v>
      </c>
      <c r="B95" t="s">
        <v>163</v>
      </c>
      <c r="C95">
        <v>81</v>
      </c>
      <c r="D95" t="s">
        <v>29</v>
      </c>
      <c r="E95" t="s">
        <v>130</v>
      </c>
      <c r="F95" t="s">
        <v>2518</v>
      </c>
      <c r="G95" t="s">
        <v>208</v>
      </c>
      <c r="H95">
        <v>149.4</v>
      </c>
      <c r="I95">
        <v>121</v>
      </c>
      <c r="J95" t="s">
        <v>94</v>
      </c>
      <c r="K95" t="s">
        <v>95</v>
      </c>
      <c r="L95" t="s">
        <v>31</v>
      </c>
      <c r="M95" t="s">
        <v>164</v>
      </c>
      <c r="N95">
        <v>9848.57</v>
      </c>
    </row>
    <row r="96" spans="1:14" ht="14.5" customHeight="1" x14ac:dyDescent="0.35">
      <c r="A96" t="s">
        <v>331</v>
      </c>
      <c r="B96" t="s">
        <v>2420</v>
      </c>
      <c r="C96">
        <v>81</v>
      </c>
      <c r="D96" t="s">
        <v>138</v>
      </c>
      <c r="E96" t="s">
        <v>24</v>
      </c>
      <c r="F96" t="s">
        <v>36</v>
      </c>
      <c r="G96" t="s">
        <v>160</v>
      </c>
      <c r="H96">
        <v>145.30000000000001</v>
      </c>
      <c r="I96">
        <v>60</v>
      </c>
      <c r="J96" t="s">
        <v>94</v>
      </c>
      <c r="K96" t="s">
        <v>85</v>
      </c>
      <c r="L96" t="s">
        <v>48</v>
      </c>
      <c r="M96" t="s">
        <v>332</v>
      </c>
    </row>
    <row r="97" spans="1:14" ht="14.5" customHeight="1" x14ac:dyDescent="0.35">
      <c r="A97" t="s">
        <v>382</v>
      </c>
      <c r="B97" t="s">
        <v>383</v>
      </c>
      <c r="C97">
        <v>81</v>
      </c>
      <c r="D97" t="s">
        <v>138</v>
      </c>
      <c r="E97" t="s">
        <v>24</v>
      </c>
      <c r="F97" t="s">
        <v>17</v>
      </c>
      <c r="G97" t="s">
        <v>112</v>
      </c>
      <c r="H97">
        <v>150</v>
      </c>
      <c r="I97">
        <v>88</v>
      </c>
      <c r="L97" t="s">
        <v>55</v>
      </c>
      <c r="M97" t="s">
        <v>384</v>
      </c>
      <c r="N97">
        <v>13238.59</v>
      </c>
    </row>
    <row r="98" spans="1:14" ht="14.5" customHeight="1" x14ac:dyDescent="0.35">
      <c r="A98" t="s">
        <v>982</v>
      </c>
      <c r="B98" t="s">
        <v>983</v>
      </c>
      <c r="C98">
        <v>81</v>
      </c>
      <c r="D98" t="s">
        <v>29</v>
      </c>
      <c r="E98" t="s">
        <v>84</v>
      </c>
      <c r="F98" t="s">
        <v>2517</v>
      </c>
      <c r="G98" t="s">
        <v>102</v>
      </c>
      <c r="H98">
        <v>174</v>
      </c>
      <c r="I98">
        <v>87</v>
      </c>
      <c r="J98" t="s">
        <v>65</v>
      </c>
      <c r="K98" t="s">
        <v>46</v>
      </c>
      <c r="L98" t="s">
        <v>175</v>
      </c>
      <c r="M98" t="s">
        <v>161</v>
      </c>
      <c r="N98">
        <v>22988.32</v>
      </c>
    </row>
    <row r="99" spans="1:14" ht="14.5" customHeight="1" x14ac:dyDescent="0.35">
      <c r="A99" t="s">
        <v>1212</v>
      </c>
      <c r="B99" t="s">
        <v>1213</v>
      </c>
      <c r="C99">
        <v>81</v>
      </c>
      <c r="D99" t="s">
        <v>29</v>
      </c>
      <c r="E99" t="s">
        <v>45</v>
      </c>
      <c r="F99" t="s">
        <v>17</v>
      </c>
      <c r="G99" t="s">
        <v>18</v>
      </c>
      <c r="H99">
        <v>1.72</v>
      </c>
      <c r="I99">
        <v>66</v>
      </c>
      <c r="J99" t="s">
        <v>95</v>
      </c>
      <c r="K99" t="s">
        <v>142</v>
      </c>
      <c r="L99" t="s">
        <v>69</v>
      </c>
      <c r="M99" t="s">
        <v>1214</v>
      </c>
      <c r="N99">
        <v>9954.66</v>
      </c>
    </row>
    <row r="100" spans="1:14" ht="14.5" customHeight="1" x14ac:dyDescent="0.35">
      <c r="A100" t="s">
        <v>1280</v>
      </c>
      <c r="B100" t="s">
        <v>2494</v>
      </c>
      <c r="C100">
        <v>81</v>
      </c>
      <c r="D100" t="s">
        <v>138</v>
      </c>
      <c r="E100" t="s">
        <v>45</v>
      </c>
      <c r="F100" t="s">
        <v>273</v>
      </c>
      <c r="G100" t="s">
        <v>208</v>
      </c>
      <c r="H100">
        <v>191</v>
      </c>
      <c r="I100">
        <v>81</v>
      </c>
      <c r="J100" t="s">
        <v>85</v>
      </c>
      <c r="K100" t="s">
        <v>95</v>
      </c>
      <c r="L100" t="s">
        <v>26</v>
      </c>
      <c r="M100" t="s">
        <v>1281</v>
      </c>
      <c r="N100">
        <v>18484.75</v>
      </c>
    </row>
    <row r="101" spans="1:14" ht="14.5" customHeight="1" x14ac:dyDescent="0.35">
      <c r="A101" t="s">
        <v>1468</v>
      </c>
      <c r="B101" t="s">
        <v>1360</v>
      </c>
      <c r="C101">
        <v>81</v>
      </c>
      <c r="D101" t="s">
        <v>52</v>
      </c>
      <c r="E101" t="s">
        <v>146</v>
      </c>
      <c r="F101" t="s">
        <v>17</v>
      </c>
      <c r="G101" t="s">
        <v>208</v>
      </c>
      <c r="H101">
        <v>191.1</v>
      </c>
      <c r="I101">
        <v>91</v>
      </c>
      <c r="L101" t="s">
        <v>143</v>
      </c>
      <c r="M101" t="s">
        <v>1469</v>
      </c>
      <c r="N101">
        <v>11221.37</v>
      </c>
    </row>
    <row r="102" spans="1:14" ht="14.5" customHeight="1" x14ac:dyDescent="0.35">
      <c r="A102" t="s">
        <v>1495</v>
      </c>
      <c r="B102" t="s">
        <v>529</v>
      </c>
      <c r="C102">
        <v>81</v>
      </c>
      <c r="D102" t="s">
        <v>138</v>
      </c>
      <c r="E102" t="s">
        <v>53</v>
      </c>
      <c r="F102" t="s">
        <v>2518</v>
      </c>
      <c r="G102" t="s">
        <v>102</v>
      </c>
      <c r="H102">
        <v>180</v>
      </c>
      <c r="I102">
        <v>50</v>
      </c>
      <c r="J102" t="s">
        <v>94</v>
      </c>
      <c r="K102" t="s">
        <v>47</v>
      </c>
      <c r="L102" t="s">
        <v>21</v>
      </c>
      <c r="M102" t="s">
        <v>1496</v>
      </c>
      <c r="N102">
        <v>44377.24</v>
      </c>
    </row>
    <row r="103" spans="1:14" ht="14.5" customHeight="1" x14ac:dyDescent="0.35">
      <c r="A103" t="s">
        <v>248</v>
      </c>
      <c r="B103" t="s">
        <v>249</v>
      </c>
      <c r="C103">
        <v>80</v>
      </c>
      <c r="D103" t="s">
        <v>138</v>
      </c>
      <c r="E103" t="s">
        <v>59</v>
      </c>
      <c r="F103" t="s">
        <v>17</v>
      </c>
      <c r="G103" t="s">
        <v>191</v>
      </c>
      <c r="H103">
        <v>195</v>
      </c>
      <c r="I103">
        <v>102.5</v>
      </c>
      <c r="K103" t="s">
        <v>65</v>
      </c>
      <c r="L103" t="s">
        <v>42</v>
      </c>
      <c r="M103" t="s">
        <v>250</v>
      </c>
      <c r="N103">
        <v>24278.31</v>
      </c>
    </row>
    <row r="104" spans="1:14" ht="14.5" customHeight="1" x14ac:dyDescent="0.35">
      <c r="A104" t="s">
        <v>254</v>
      </c>
      <c r="B104" t="s">
        <v>255</v>
      </c>
      <c r="C104">
        <v>79</v>
      </c>
      <c r="D104" t="s">
        <v>29</v>
      </c>
      <c r="E104" t="s">
        <v>111</v>
      </c>
      <c r="F104" t="s">
        <v>79</v>
      </c>
      <c r="G104" t="s">
        <v>60</v>
      </c>
      <c r="H104">
        <v>162.19999999999999</v>
      </c>
      <c r="I104">
        <v>78</v>
      </c>
      <c r="J104" t="s">
        <v>94</v>
      </c>
      <c r="L104" t="s">
        <v>86</v>
      </c>
      <c r="M104" t="s">
        <v>256</v>
      </c>
      <c r="N104">
        <v>45013.7</v>
      </c>
    </row>
    <row r="105" spans="1:14" ht="14.5" customHeight="1" x14ac:dyDescent="0.35">
      <c r="A105" t="s">
        <v>1485</v>
      </c>
      <c r="B105" t="s">
        <v>842</v>
      </c>
      <c r="C105">
        <v>79</v>
      </c>
      <c r="D105" t="s">
        <v>29</v>
      </c>
      <c r="E105" t="s">
        <v>146</v>
      </c>
      <c r="F105" t="s">
        <v>17</v>
      </c>
      <c r="G105" t="s">
        <v>160</v>
      </c>
      <c r="H105">
        <v>150.6</v>
      </c>
      <c r="I105">
        <v>45.7</v>
      </c>
      <c r="J105" t="s">
        <v>19</v>
      </c>
      <c r="L105" t="s">
        <v>199</v>
      </c>
      <c r="M105" t="s">
        <v>1486</v>
      </c>
      <c r="N105">
        <v>29044.13</v>
      </c>
    </row>
    <row r="106" spans="1:14" ht="14.5" customHeight="1" x14ac:dyDescent="0.35">
      <c r="A106" t="s">
        <v>1497</v>
      </c>
      <c r="B106" t="s">
        <v>2516</v>
      </c>
      <c r="C106">
        <v>79</v>
      </c>
      <c r="D106" t="s">
        <v>29</v>
      </c>
      <c r="E106" t="s">
        <v>24</v>
      </c>
      <c r="F106" t="s">
        <v>2517</v>
      </c>
      <c r="G106" t="s">
        <v>40</v>
      </c>
      <c r="H106">
        <v>1.65</v>
      </c>
      <c r="I106">
        <v>100</v>
      </c>
      <c r="J106" t="s">
        <v>20</v>
      </c>
      <c r="L106" t="s">
        <v>69</v>
      </c>
      <c r="M106" t="s">
        <v>1498</v>
      </c>
      <c r="N106">
        <v>12099.79</v>
      </c>
    </row>
    <row r="107" spans="1:14" ht="14.5" customHeight="1" x14ac:dyDescent="0.35">
      <c r="A107" t="s">
        <v>92</v>
      </c>
      <c r="B107" t="s">
        <v>93</v>
      </c>
      <c r="C107">
        <v>78</v>
      </c>
      <c r="D107" t="s">
        <v>138</v>
      </c>
      <c r="E107" t="s">
        <v>89</v>
      </c>
      <c r="F107" t="s">
        <v>2517</v>
      </c>
      <c r="G107" t="s">
        <v>208</v>
      </c>
      <c r="H107">
        <v>166.2</v>
      </c>
      <c r="I107">
        <v>115</v>
      </c>
      <c r="J107" t="s">
        <v>94</v>
      </c>
      <c r="K107" t="s">
        <v>95</v>
      </c>
      <c r="L107" t="s">
        <v>96</v>
      </c>
      <c r="M107" t="s">
        <v>97</v>
      </c>
      <c r="N107">
        <v>34689.53</v>
      </c>
    </row>
    <row r="108" spans="1:14" ht="14.5" customHeight="1" x14ac:dyDescent="0.35">
      <c r="A108" t="s">
        <v>446</v>
      </c>
      <c r="B108" t="s">
        <v>447</v>
      </c>
      <c r="C108">
        <v>78</v>
      </c>
      <c r="D108" t="s">
        <v>29</v>
      </c>
      <c r="E108" t="s">
        <v>45</v>
      </c>
      <c r="F108" t="s">
        <v>2517</v>
      </c>
      <c r="G108" t="s">
        <v>191</v>
      </c>
      <c r="H108">
        <v>185.3</v>
      </c>
      <c r="J108" t="s">
        <v>19</v>
      </c>
      <c r="K108" t="s">
        <v>142</v>
      </c>
      <c r="L108" t="s">
        <v>175</v>
      </c>
      <c r="M108" t="s">
        <v>448</v>
      </c>
      <c r="N108">
        <v>24674.11</v>
      </c>
    </row>
    <row r="109" spans="1:14" ht="14.5" customHeight="1" x14ac:dyDescent="0.35">
      <c r="A109" t="s">
        <v>841</v>
      </c>
      <c r="B109" t="s">
        <v>842</v>
      </c>
      <c r="C109">
        <v>78</v>
      </c>
      <c r="D109" t="s">
        <v>29</v>
      </c>
      <c r="E109" t="s">
        <v>130</v>
      </c>
      <c r="F109" t="s">
        <v>79</v>
      </c>
      <c r="G109" t="s">
        <v>208</v>
      </c>
      <c r="H109">
        <v>166.8</v>
      </c>
      <c r="I109">
        <v>47</v>
      </c>
      <c r="J109" t="s">
        <v>94</v>
      </c>
      <c r="L109" t="s">
        <v>55</v>
      </c>
      <c r="M109" t="s">
        <v>843</v>
      </c>
      <c r="N109">
        <v>22455.32</v>
      </c>
    </row>
    <row r="110" spans="1:14" ht="14.5" customHeight="1" x14ac:dyDescent="0.35">
      <c r="A110" t="s">
        <v>1058</v>
      </c>
      <c r="B110" t="s">
        <v>1059</v>
      </c>
      <c r="C110">
        <v>78</v>
      </c>
      <c r="D110" t="s">
        <v>138</v>
      </c>
      <c r="E110" t="s">
        <v>45</v>
      </c>
      <c r="F110" t="s">
        <v>17</v>
      </c>
      <c r="G110" t="s">
        <v>208</v>
      </c>
      <c r="H110">
        <v>146</v>
      </c>
      <c r="J110" t="s">
        <v>61</v>
      </c>
      <c r="L110" t="s">
        <v>55</v>
      </c>
      <c r="M110" t="s">
        <v>1060</v>
      </c>
      <c r="N110">
        <v>20525.490000000002</v>
      </c>
    </row>
    <row r="111" spans="1:14" ht="14.5" customHeight="1" x14ac:dyDescent="0.35">
      <c r="A111" t="s">
        <v>201</v>
      </c>
      <c r="B111" t="s">
        <v>2414</v>
      </c>
      <c r="C111">
        <v>77</v>
      </c>
      <c r="D111" t="s">
        <v>29</v>
      </c>
      <c r="E111" t="s">
        <v>84</v>
      </c>
      <c r="F111" t="s">
        <v>134</v>
      </c>
      <c r="G111" t="s">
        <v>80</v>
      </c>
      <c r="H111">
        <v>154</v>
      </c>
      <c r="I111">
        <v>109.7</v>
      </c>
      <c r="J111" t="s">
        <v>61</v>
      </c>
      <c r="K111" t="s">
        <v>47</v>
      </c>
      <c r="L111" t="s">
        <v>48</v>
      </c>
      <c r="M111" t="s">
        <v>202</v>
      </c>
      <c r="N111">
        <v>26725.919999999998</v>
      </c>
    </row>
    <row r="112" spans="1:14" ht="14.5" customHeight="1" x14ac:dyDescent="0.35">
      <c r="A112" t="s">
        <v>307</v>
      </c>
      <c r="B112" t="s">
        <v>308</v>
      </c>
      <c r="C112">
        <v>77</v>
      </c>
      <c r="D112" t="s">
        <v>138</v>
      </c>
      <c r="E112" t="s">
        <v>45</v>
      </c>
      <c r="F112" t="s">
        <v>134</v>
      </c>
      <c r="G112" t="s">
        <v>112</v>
      </c>
      <c r="H112">
        <v>180.8</v>
      </c>
      <c r="I112">
        <v>108.9</v>
      </c>
      <c r="K112" t="s">
        <v>47</v>
      </c>
      <c r="L112" t="s">
        <v>48</v>
      </c>
      <c r="M112" t="s">
        <v>309</v>
      </c>
      <c r="N112">
        <v>30356.69</v>
      </c>
    </row>
    <row r="113" spans="1:14" ht="14.5" customHeight="1" x14ac:dyDescent="0.35">
      <c r="A113" t="s">
        <v>206</v>
      </c>
      <c r="B113" t="s">
        <v>560</v>
      </c>
      <c r="C113">
        <v>77</v>
      </c>
      <c r="D113" t="s">
        <v>29</v>
      </c>
      <c r="E113" t="s">
        <v>146</v>
      </c>
      <c r="F113" t="s">
        <v>17</v>
      </c>
      <c r="G113" t="s">
        <v>112</v>
      </c>
      <c r="H113">
        <v>1.58</v>
      </c>
      <c r="I113">
        <v>-10</v>
      </c>
      <c r="J113" t="s">
        <v>20</v>
      </c>
      <c r="K113" t="s">
        <v>30</v>
      </c>
      <c r="L113" t="s">
        <v>226</v>
      </c>
      <c r="M113" t="s">
        <v>561</v>
      </c>
      <c r="N113">
        <v>38831.24</v>
      </c>
    </row>
    <row r="114" spans="1:14" ht="14.5" customHeight="1" x14ac:dyDescent="0.35">
      <c r="A114" t="s">
        <v>962</v>
      </c>
      <c r="B114" t="s">
        <v>963</v>
      </c>
      <c r="C114">
        <v>77</v>
      </c>
      <c r="D114" t="s">
        <v>138</v>
      </c>
      <c r="E114" t="s">
        <v>89</v>
      </c>
      <c r="F114" t="s">
        <v>36</v>
      </c>
      <c r="G114" t="s">
        <v>36</v>
      </c>
      <c r="H114">
        <v>145</v>
      </c>
      <c r="I114">
        <v>105</v>
      </c>
      <c r="J114" t="s">
        <v>20</v>
      </c>
      <c r="K114" t="s">
        <v>30</v>
      </c>
      <c r="L114" t="s">
        <v>55</v>
      </c>
      <c r="M114" t="s">
        <v>964</v>
      </c>
      <c r="N114">
        <v>32291.919999999998</v>
      </c>
    </row>
    <row r="115" spans="1:14" ht="14.5" customHeight="1" x14ac:dyDescent="0.35">
      <c r="A115" t="s">
        <v>1094</v>
      </c>
      <c r="B115" t="s">
        <v>1095</v>
      </c>
      <c r="C115">
        <v>77</v>
      </c>
      <c r="D115" t="s">
        <v>52</v>
      </c>
      <c r="E115" t="s">
        <v>59</v>
      </c>
      <c r="F115" t="s">
        <v>2517</v>
      </c>
      <c r="G115" t="s">
        <v>160</v>
      </c>
      <c r="H115">
        <v>167</v>
      </c>
      <c r="I115">
        <v>99</v>
      </c>
      <c r="J115" t="s">
        <v>41</v>
      </c>
      <c r="K115" t="s">
        <v>62</v>
      </c>
      <c r="L115" t="s">
        <v>86</v>
      </c>
      <c r="M115" t="s">
        <v>1096</v>
      </c>
      <c r="N115">
        <v>17277.12</v>
      </c>
    </row>
    <row r="116" spans="1:14" ht="14.5" customHeight="1" x14ac:dyDescent="0.35">
      <c r="A116" t="s">
        <v>746</v>
      </c>
      <c r="B116" t="s">
        <v>2449</v>
      </c>
      <c r="C116">
        <v>76</v>
      </c>
      <c r="D116" t="s">
        <v>29</v>
      </c>
      <c r="E116" t="s">
        <v>146</v>
      </c>
      <c r="F116" t="s">
        <v>79</v>
      </c>
      <c r="G116" t="s">
        <v>280</v>
      </c>
      <c r="H116">
        <v>1.58</v>
      </c>
      <c r="J116" t="s">
        <v>61</v>
      </c>
      <c r="K116" t="s">
        <v>46</v>
      </c>
      <c r="L116" t="s">
        <v>26</v>
      </c>
      <c r="M116" t="s">
        <v>747</v>
      </c>
      <c r="N116">
        <v>24318.23</v>
      </c>
    </row>
    <row r="117" spans="1:14" ht="14.5" customHeight="1" x14ac:dyDescent="0.35">
      <c r="A117" t="s">
        <v>1108</v>
      </c>
      <c r="B117" t="s">
        <v>568</v>
      </c>
      <c r="C117">
        <v>76</v>
      </c>
      <c r="D117" t="s">
        <v>138</v>
      </c>
      <c r="E117" t="s">
        <v>146</v>
      </c>
      <c r="F117" t="s">
        <v>273</v>
      </c>
      <c r="G117" t="s">
        <v>18</v>
      </c>
      <c r="H117">
        <v>169.4</v>
      </c>
      <c r="I117">
        <v>60.1</v>
      </c>
      <c r="J117" t="s">
        <v>95</v>
      </c>
      <c r="K117" t="s">
        <v>62</v>
      </c>
      <c r="L117" t="s">
        <v>175</v>
      </c>
      <c r="M117" t="s">
        <v>1109</v>
      </c>
      <c r="N117">
        <v>20140.87</v>
      </c>
    </row>
    <row r="118" spans="1:14" ht="14.5" customHeight="1" x14ac:dyDescent="0.35">
      <c r="A118" t="s">
        <v>1178</v>
      </c>
      <c r="B118" t="s">
        <v>2488</v>
      </c>
      <c r="C118">
        <v>76</v>
      </c>
      <c r="D118" t="s">
        <v>138</v>
      </c>
      <c r="E118" t="s">
        <v>16</v>
      </c>
      <c r="F118" t="s">
        <v>2518</v>
      </c>
      <c r="G118" t="s">
        <v>198</v>
      </c>
      <c r="H118">
        <v>163.5</v>
      </c>
      <c r="I118">
        <v>0</v>
      </c>
      <c r="J118" t="s">
        <v>41</v>
      </c>
      <c r="L118" t="s">
        <v>226</v>
      </c>
      <c r="M118" t="s">
        <v>1179</v>
      </c>
      <c r="N118">
        <v>27926.73</v>
      </c>
    </row>
    <row r="119" spans="1:14" ht="14.5" customHeight="1" x14ac:dyDescent="0.35">
      <c r="A119" t="s">
        <v>822</v>
      </c>
      <c r="B119" t="s">
        <v>823</v>
      </c>
      <c r="C119">
        <v>75</v>
      </c>
      <c r="D119" t="s">
        <v>29</v>
      </c>
      <c r="E119" t="s">
        <v>24</v>
      </c>
      <c r="F119" t="s">
        <v>36</v>
      </c>
      <c r="G119" t="s">
        <v>80</v>
      </c>
      <c r="H119">
        <v>195</v>
      </c>
      <c r="I119">
        <v>117.2</v>
      </c>
      <c r="J119" t="s">
        <v>41</v>
      </c>
      <c r="L119" t="s">
        <v>31</v>
      </c>
      <c r="M119" t="s">
        <v>824</v>
      </c>
      <c r="N119">
        <v>47287.08</v>
      </c>
    </row>
    <row r="120" spans="1:14" ht="14.5" customHeight="1" x14ac:dyDescent="0.35">
      <c r="A120" t="s">
        <v>900</v>
      </c>
      <c r="B120" t="s">
        <v>901</v>
      </c>
      <c r="C120">
        <v>75</v>
      </c>
      <c r="D120" t="s">
        <v>138</v>
      </c>
      <c r="E120" t="s">
        <v>217</v>
      </c>
      <c r="F120" t="s">
        <v>79</v>
      </c>
      <c r="G120" t="s">
        <v>208</v>
      </c>
      <c r="H120">
        <v>999</v>
      </c>
      <c r="I120">
        <v>98.9</v>
      </c>
      <c r="J120" t="s">
        <v>85</v>
      </c>
      <c r="K120" t="s">
        <v>62</v>
      </c>
      <c r="L120" t="s">
        <v>55</v>
      </c>
      <c r="M120" t="s">
        <v>902</v>
      </c>
      <c r="N120">
        <v>8827.57</v>
      </c>
    </row>
    <row r="121" spans="1:14" ht="14.5" customHeight="1" x14ac:dyDescent="0.35">
      <c r="A121" t="s">
        <v>1118</v>
      </c>
      <c r="B121" t="s">
        <v>2481</v>
      </c>
      <c r="C121">
        <v>75</v>
      </c>
      <c r="D121" t="s">
        <v>29</v>
      </c>
      <c r="E121" t="s">
        <v>89</v>
      </c>
      <c r="F121" t="s">
        <v>17</v>
      </c>
      <c r="G121" t="s">
        <v>60</v>
      </c>
      <c r="H121">
        <v>188</v>
      </c>
      <c r="I121">
        <v>500</v>
      </c>
      <c r="J121" t="s">
        <v>41</v>
      </c>
      <c r="L121" t="s">
        <v>86</v>
      </c>
      <c r="M121" t="s">
        <v>1119</v>
      </c>
      <c r="N121">
        <v>14847.88</v>
      </c>
    </row>
    <row r="122" spans="1:14" ht="14.5" customHeight="1" x14ac:dyDescent="0.35">
      <c r="A122" t="s">
        <v>1227</v>
      </c>
      <c r="B122" t="s">
        <v>1228</v>
      </c>
      <c r="C122">
        <v>75</v>
      </c>
      <c r="D122" t="s">
        <v>138</v>
      </c>
      <c r="E122" t="s">
        <v>73</v>
      </c>
      <c r="F122" t="s">
        <v>2518</v>
      </c>
      <c r="G122" t="s">
        <v>208</v>
      </c>
      <c r="H122">
        <v>172</v>
      </c>
      <c r="I122">
        <v>79.7</v>
      </c>
      <c r="J122" t="s">
        <v>95</v>
      </c>
      <c r="K122" t="s">
        <v>47</v>
      </c>
      <c r="L122" t="s">
        <v>55</v>
      </c>
      <c r="M122" t="s">
        <v>1229</v>
      </c>
      <c r="N122">
        <v>25340.07</v>
      </c>
    </row>
    <row r="123" spans="1:14" ht="14.5" customHeight="1" x14ac:dyDescent="0.35">
      <c r="A123" t="s">
        <v>1285</v>
      </c>
      <c r="B123" t="s">
        <v>823</v>
      </c>
      <c r="C123">
        <v>75</v>
      </c>
      <c r="D123" t="s">
        <v>138</v>
      </c>
      <c r="E123" t="s">
        <v>45</v>
      </c>
      <c r="F123" t="s">
        <v>2517</v>
      </c>
      <c r="G123" t="s">
        <v>36</v>
      </c>
      <c r="H123">
        <v>172</v>
      </c>
      <c r="I123">
        <v>81</v>
      </c>
      <c r="J123" t="s">
        <v>61</v>
      </c>
      <c r="K123" t="s">
        <v>62</v>
      </c>
      <c r="L123" t="s">
        <v>143</v>
      </c>
      <c r="M123" t="s">
        <v>1286</v>
      </c>
      <c r="N123">
        <v>-1577.64</v>
      </c>
    </row>
    <row r="124" spans="1:14" ht="14.5" customHeight="1" x14ac:dyDescent="0.35">
      <c r="A124" t="s">
        <v>23</v>
      </c>
      <c r="B124" t="s">
        <v>2403</v>
      </c>
      <c r="C124">
        <v>74</v>
      </c>
      <c r="D124" t="s">
        <v>29</v>
      </c>
      <c r="E124" t="s">
        <v>24</v>
      </c>
      <c r="F124" t="s">
        <v>2517</v>
      </c>
      <c r="G124" t="s">
        <v>25</v>
      </c>
      <c r="H124">
        <v>149</v>
      </c>
      <c r="I124">
        <v>70</v>
      </c>
      <c r="L124" t="s">
        <v>26</v>
      </c>
      <c r="M124" t="s">
        <v>27</v>
      </c>
    </row>
    <row r="125" spans="1:14" ht="14.5" customHeight="1" x14ac:dyDescent="0.35">
      <c r="A125" t="s">
        <v>114</v>
      </c>
      <c r="B125" t="s">
        <v>2408</v>
      </c>
      <c r="C125">
        <v>74</v>
      </c>
      <c r="D125" t="s">
        <v>138</v>
      </c>
      <c r="E125" t="s">
        <v>115</v>
      </c>
      <c r="F125" t="s">
        <v>17</v>
      </c>
      <c r="G125" t="s">
        <v>112</v>
      </c>
      <c r="H125">
        <v>188</v>
      </c>
      <c r="I125">
        <v>65</v>
      </c>
      <c r="L125" t="s">
        <v>103</v>
      </c>
      <c r="M125" t="s">
        <v>116</v>
      </c>
      <c r="N125">
        <v>48628.37</v>
      </c>
    </row>
    <row r="126" spans="1:14" ht="14.5" customHeight="1" x14ac:dyDescent="0.35">
      <c r="A126" t="s">
        <v>427</v>
      </c>
      <c r="B126" t="s">
        <v>428</v>
      </c>
      <c r="C126">
        <v>74</v>
      </c>
      <c r="D126" t="s">
        <v>29</v>
      </c>
      <c r="E126" t="s">
        <v>115</v>
      </c>
      <c r="F126" t="s">
        <v>273</v>
      </c>
      <c r="G126" t="s">
        <v>36</v>
      </c>
      <c r="H126">
        <v>150</v>
      </c>
      <c r="I126">
        <v>40</v>
      </c>
      <c r="J126" t="s">
        <v>20</v>
      </c>
      <c r="K126" t="s">
        <v>65</v>
      </c>
      <c r="L126" t="s">
        <v>86</v>
      </c>
      <c r="M126" t="s">
        <v>429</v>
      </c>
      <c r="N126">
        <v>8658.51</v>
      </c>
    </row>
    <row r="127" spans="1:14" ht="14.5" customHeight="1" x14ac:dyDescent="0.35">
      <c r="A127" t="s">
        <v>616</v>
      </c>
      <c r="B127" t="s">
        <v>617</v>
      </c>
      <c r="C127">
        <v>74</v>
      </c>
      <c r="D127" t="s">
        <v>29</v>
      </c>
      <c r="E127" t="s">
        <v>130</v>
      </c>
      <c r="F127" t="s">
        <v>2518</v>
      </c>
      <c r="G127" t="s">
        <v>40</v>
      </c>
      <c r="H127">
        <v>176.2</v>
      </c>
      <c r="I127">
        <v>92</v>
      </c>
      <c r="K127" t="s">
        <v>47</v>
      </c>
      <c r="L127" t="s">
        <v>55</v>
      </c>
      <c r="M127" t="s">
        <v>618</v>
      </c>
      <c r="N127">
        <v>45256.480000000003</v>
      </c>
    </row>
    <row r="128" spans="1:14" ht="14.5" customHeight="1" x14ac:dyDescent="0.35">
      <c r="A128" t="s">
        <v>735</v>
      </c>
      <c r="B128" t="s">
        <v>736</v>
      </c>
      <c r="C128">
        <v>74</v>
      </c>
      <c r="D128" t="s">
        <v>29</v>
      </c>
      <c r="E128" t="s">
        <v>89</v>
      </c>
      <c r="F128" t="s">
        <v>2517</v>
      </c>
      <c r="G128" t="s">
        <v>25</v>
      </c>
      <c r="H128">
        <v>190</v>
      </c>
      <c r="J128" t="s">
        <v>19</v>
      </c>
      <c r="K128" t="s">
        <v>46</v>
      </c>
      <c r="L128" t="s">
        <v>175</v>
      </c>
      <c r="M128" t="s">
        <v>737</v>
      </c>
      <c r="N128">
        <v>46084.75</v>
      </c>
    </row>
    <row r="129" spans="1:14" ht="14.5" customHeight="1" x14ac:dyDescent="0.35">
      <c r="A129" t="s">
        <v>912</v>
      </c>
      <c r="B129" t="s">
        <v>913</v>
      </c>
      <c r="C129">
        <v>74</v>
      </c>
      <c r="D129" t="s">
        <v>29</v>
      </c>
      <c r="E129" t="s">
        <v>119</v>
      </c>
      <c r="F129" t="s">
        <v>17</v>
      </c>
      <c r="G129" t="s">
        <v>198</v>
      </c>
      <c r="H129">
        <v>176</v>
      </c>
      <c r="I129">
        <v>113</v>
      </c>
      <c r="J129" t="s">
        <v>19</v>
      </c>
      <c r="K129" t="s">
        <v>47</v>
      </c>
      <c r="L129" t="s">
        <v>26</v>
      </c>
      <c r="M129" t="s">
        <v>914</v>
      </c>
      <c r="N129">
        <v>49864.83</v>
      </c>
    </row>
    <row r="130" spans="1:14" ht="14.5" customHeight="1" x14ac:dyDescent="0.35">
      <c r="A130" t="s">
        <v>1034</v>
      </c>
      <c r="B130" t="s">
        <v>1035</v>
      </c>
      <c r="C130">
        <v>74</v>
      </c>
      <c r="D130" t="s">
        <v>29</v>
      </c>
      <c r="E130" t="s">
        <v>130</v>
      </c>
      <c r="F130" t="s">
        <v>79</v>
      </c>
      <c r="G130" t="s">
        <v>18</v>
      </c>
      <c r="H130">
        <v>185</v>
      </c>
      <c r="I130">
        <v>96</v>
      </c>
      <c r="J130" t="s">
        <v>36</v>
      </c>
      <c r="K130" t="s">
        <v>142</v>
      </c>
      <c r="L130" t="s">
        <v>226</v>
      </c>
      <c r="M130" t="s">
        <v>1036</v>
      </c>
      <c r="N130">
        <v>44894.78</v>
      </c>
    </row>
    <row r="131" spans="1:14" ht="14.5" customHeight="1" x14ac:dyDescent="0.35">
      <c r="A131" t="s">
        <v>1087</v>
      </c>
      <c r="B131" t="s">
        <v>1088</v>
      </c>
      <c r="C131">
        <v>74</v>
      </c>
      <c r="D131" t="s">
        <v>29</v>
      </c>
      <c r="E131" t="s">
        <v>119</v>
      </c>
      <c r="F131" t="s">
        <v>273</v>
      </c>
      <c r="G131" t="s">
        <v>160</v>
      </c>
      <c r="H131">
        <v>189</v>
      </c>
      <c r="I131">
        <v>112.4</v>
      </c>
      <c r="J131" t="s">
        <v>85</v>
      </c>
      <c r="K131" t="s">
        <v>62</v>
      </c>
      <c r="L131" t="s">
        <v>26</v>
      </c>
      <c r="M131" t="s">
        <v>262</v>
      </c>
      <c r="N131">
        <v>22260.47</v>
      </c>
    </row>
    <row r="132" spans="1:14" ht="14.5" customHeight="1" x14ac:dyDescent="0.35">
      <c r="A132" t="s">
        <v>148</v>
      </c>
      <c r="B132" t="s">
        <v>149</v>
      </c>
      <c r="C132">
        <v>73</v>
      </c>
      <c r="D132" t="s">
        <v>29</v>
      </c>
      <c r="E132" t="s">
        <v>73</v>
      </c>
      <c r="F132" t="s">
        <v>17</v>
      </c>
      <c r="G132" t="s">
        <v>36</v>
      </c>
      <c r="H132">
        <v>175</v>
      </c>
      <c r="I132">
        <v>53</v>
      </c>
      <c r="J132" t="s">
        <v>20</v>
      </c>
      <c r="K132" t="s">
        <v>46</v>
      </c>
      <c r="L132" t="s">
        <v>48</v>
      </c>
      <c r="M132" t="s">
        <v>150</v>
      </c>
      <c r="N132">
        <v>44323.35</v>
      </c>
    </row>
    <row r="133" spans="1:14" ht="14.5" customHeight="1" x14ac:dyDescent="0.35">
      <c r="A133" t="s">
        <v>346</v>
      </c>
      <c r="B133" t="s">
        <v>347</v>
      </c>
      <c r="C133">
        <v>73</v>
      </c>
      <c r="D133" t="s">
        <v>29</v>
      </c>
      <c r="E133" t="s">
        <v>146</v>
      </c>
      <c r="F133" t="s">
        <v>2518</v>
      </c>
      <c r="G133" t="s">
        <v>208</v>
      </c>
      <c r="H133">
        <v>192.3</v>
      </c>
      <c r="I133">
        <v>47.6</v>
      </c>
      <c r="K133" t="s">
        <v>65</v>
      </c>
      <c r="L133" t="s">
        <v>48</v>
      </c>
      <c r="M133" t="s">
        <v>348</v>
      </c>
      <c r="N133">
        <v>28489.45</v>
      </c>
    </row>
    <row r="134" spans="1:14" ht="14.5" customHeight="1" x14ac:dyDescent="0.35">
      <c r="A134" t="s">
        <v>360</v>
      </c>
      <c r="B134" t="s">
        <v>361</v>
      </c>
      <c r="C134">
        <v>73</v>
      </c>
      <c r="D134" t="s">
        <v>138</v>
      </c>
      <c r="E134" t="s">
        <v>115</v>
      </c>
      <c r="F134" t="s">
        <v>2518</v>
      </c>
      <c r="G134" t="s">
        <v>191</v>
      </c>
      <c r="H134">
        <v>149.4</v>
      </c>
      <c r="I134">
        <v>102</v>
      </c>
      <c r="J134" t="s">
        <v>61</v>
      </c>
      <c r="L134" t="s">
        <v>48</v>
      </c>
      <c r="M134" t="s">
        <v>362</v>
      </c>
      <c r="N134">
        <v>22135.87</v>
      </c>
    </row>
    <row r="135" spans="1:14" ht="14.5" customHeight="1" x14ac:dyDescent="0.35">
      <c r="A135" t="s">
        <v>501</v>
      </c>
      <c r="B135" t="s">
        <v>502</v>
      </c>
      <c r="C135">
        <v>73</v>
      </c>
      <c r="D135" t="s">
        <v>138</v>
      </c>
      <c r="E135" t="s">
        <v>45</v>
      </c>
      <c r="F135" t="s">
        <v>141</v>
      </c>
      <c r="G135" t="s">
        <v>102</v>
      </c>
      <c r="H135">
        <v>165</v>
      </c>
      <c r="I135">
        <v>104.2</v>
      </c>
      <c r="J135" t="s">
        <v>94</v>
      </c>
      <c r="L135" t="s">
        <v>96</v>
      </c>
      <c r="M135" t="s">
        <v>503</v>
      </c>
      <c r="N135">
        <v>24631.08</v>
      </c>
    </row>
    <row r="136" spans="1:14" ht="14.5" customHeight="1" x14ac:dyDescent="0.35">
      <c r="A136" t="s">
        <v>1443</v>
      </c>
      <c r="B136" t="s">
        <v>1444</v>
      </c>
      <c r="C136">
        <v>73</v>
      </c>
      <c r="D136" t="s">
        <v>52</v>
      </c>
      <c r="E136" t="s">
        <v>78</v>
      </c>
      <c r="F136" t="s">
        <v>36</v>
      </c>
      <c r="G136" t="s">
        <v>280</v>
      </c>
      <c r="H136">
        <v>161</v>
      </c>
      <c r="I136">
        <v>44</v>
      </c>
      <c r="J136" t="s">
        <v>41</v>
      </c>
      <c r="K136" t="s">
        <v>142</v>
      </c>
      <c r="L136" t="s">
        <v>107</v>
      </c>
      <c r="M136" t="s">
        <v>1445</v>
      </c>
      <c r="N136">
        <v>17693.61</v>
      </c>
    </row>
    <row r="137" spans="1:14" ht="14.5" customHeight="1" x14ac:dyDescent="0.35">
      <c r="A137" t="s">
        <v>189</v>
      </c>
      <c r="B137" t="s">
        <v>190</v>
      </c>
      <c r="C137">
        <v>72</v>
      </c>
      <c r="D137" t="s">
        <v>138</v>
      </c>
      <c r="E137" t="s">
        <v>115</v>
      </c>
      <c r="F137" t="s">
        <v>120</v>
      </c>
      <c r="G137" t="s">
        <v>191</v>
      </c>
      <c r="H137">
        <v>155</v>
      </c>
      <c r="I137">
        <v>53</v>
      </c>
      <c r="J137" t="s">
        <v>41</v>
      </c>
      <c r="K137" t="s">
        <v>85</v>
      </c>
      <c r="L137" t="s">
        <v>103</v>
      </c>
      <c r="M137" t="s">
        <v>192</v>
      </c>
      <c r="N137">
        <v>39242</v>
      </c>
    </row>
    <row r="138" spans="1:14" ht="14.5" customHeight="1" x14ac:dyDescent="0.35">
      <c r="A138" t="s">
        <v>605</v>
      </c>
      <c r="B138" t="s">
        <v>606</v>
      </c>
      <c r="C138">
        <v>72</v>
      </c>
      <c r="D138" t="s">
        <v>138</v>
      </c>
      <c r="E138" t="s">
        <v>130</v>
      </c>
      <c r="F138" t="s">
        <v>2518</v>
      </c>
      <c r="G138" t="s">
        <v>112</v>
      </c>
      <c r="H138">
        <v>166.6</v>
      </c>
      <c r="I138">
        <v>44.2</v>
      </c>
      <c r="J138" t="s">
        <v>41</v>
      </c>
      <c r="K138" t="s">
        <v>47</v>
      </c>
      <c r="L138" t="s">
        <v>42</v>
      </c>
      <c r="M138" t="s">
        <v>607</v>
      </c>
      <c r="N138">
        <v>3163.21</v>
      </c>
    </row>
    <row r="139" spans="1:14" ht="14.5" customHeight="1" x14ac:dyDescent="0.35">
      <c r="A139" t="s">
        <v>859</v>
      </c>
      <c r="B139" t="s">
        <v>860</v>
      </c>
      <c r="C139">
        <v>72</v>
      </c>
      <c r="D139" t="s">
        <v>52</v>
      </c>
      <c r="E139" t="s">
        <v>45</v>
      </c>
      <c r="F139" t="s">
        <v>2517</v>
      </c>
      <c r="G139" t="s">
        <v>160</v>
      </c>
      <c r="H139">
        <v>167</v>
      </c>
      <c r="I139">
        <v>112.3</v>
      </c>
      <c r="J139" t="s">
        <v>20</v>
      </c>
      <c r="K139" t="s">
        <v>85</v>
      </c>
      <c r="L139" t="s">
        <v>26</v>
      </c>
      <c r="M139" t="s">
        <v>861</v>
      </c>
      <c r="N139">
        <v>18453.73</v>
      </c>
    </row>
    <row r="140" spans="1:14" ht="14.5" customHeight="1" x14ac:dyDescent="0.35">
      <c r="A140" t="s">
        <v>942</v>
      </c>
      <c r="B140" t="s">
        <v>943</v>
      </c>
      <c r="C140">
        <v>72</v>
      </c>
      <c r="D140" t="s">
        <v>138</v>
      </c>
      <c r="E140" t="s">
        <v>16</v>
      </c>
      <c r="F140" t="s">
        <v>273</v>
      </c>
      <c r="G140" t="s">
        <v>191</v>
      </c>
      <c r="H140">
        <v>176</v>
      </c>
      <c r="I140">
        <v>118</v>
      </c>
      <c r="K140" t="s">
        <v>46</v>
      </c>
      <c r="L140" t="s">
        <v>55</v>
      </c>
      <c r="M140" t="s">
        <v>944</v>
      </c>
      <c r="N140">
        <v>31040.22</v>
      </c>
    </row>
    <row r="141" spans="1:14" ht="14.5" customHeight="1" x14ac:dyDescent="0.35">
      <c r="A141" t="s">
        <v>1197</v>
      </c>
      <c r="B141" t="s">
        <v>1198</v>
      </c>
      <c r="C141">
        <v>72</v>
      </c>
      <c r="D141" t="s">
        <v>138</v>
      </c>
      <c r="E141" t="s">
        <v>230</v>
      </c>
      <c r="F141" t="s">
        <v>36</v>
      </c>
      <c r="G141" t="s">
        <v>198</v>
      </c>
      <c r="H141">
        <v>172</v>
      </c>
      <c r="I141">
        <v>58.3</v>
      </c>
      <c r="J141" t="s">
        <v>95</v>
      </c>
      <c r="K141" t="s">
        <v>95</v>
      </c>
      <c r="L141" t="s">
        <v>55</v>
      </c>
      <c r="M141" t="s">
        <v>1199</v>
      </c>
      <c r="N141">
        <v>28380.75</v>
      </c>
    </row>
    <row r="142" spans="1:14" ht="14.5" customHeight="1" x14ac:dyDescent="0.35">
      <c r="A142" t="s">
        <v>1410</v>
      </c>
      <c r="B142" t="s">
        <v>1411</v>
      </c>
      <c r="C142">
        <v>72</v>
      </c>
      <c r="D142" t="s">
        <v>138</v>
      </c>
      <c r="E142" t="s">
        <v>146</v>
      </c>
      <c r="F142" t="s">
        <v>17</v>
      </c>
      <c r="G142" t="s">
        <v>80</v>
      </c>
      <c r="H142">
        <v>182.6</v>
      </c>
      <c r="J142" t="s">
        <v>65</v>
      </c>
      <c r="K142" t="s">
        <v>46</v>
      </c>
      <c r="L142" t="s">
        <v>96</v>
      </c>
      <c r="M142" t="s">
        <v>1412</v>
      </c>
      <c r="N142">
        <v>20518.93</v>
      </c>
    </row>
    <row r="143" spans="1:14" ht="14.5" customHeight="1" x14ac:dyDescent="0.35">
      <c r="A143" t="s">
        <v>1418</v>
      </c>
      <c r="B143" t="s">
        <v>994</v>
      </c>
      <c r="C143">
        <v>72</v>
      </c>
      <c r="D143" t="s">
        <v>138</v>
      </c>
      <c r="E143" t="s">
        <v>146</v>
      </c>
      <c r="F143" t="s">
        <v>36</v>
      </c>
      <c r="G143" t="s">
        <v>160</v>
      </c>
      <c r="H143">
        <v>1.58</v>
      </c>
      <c r="I143">
        <v>70.8</v>
      </c>
      <c r="L143" t="s">
        <v>143</v>
      </c>
      <c r="M143" t="s">
        <v>1419</v>
      </c>
      <c r="N143">
        <v>24466.92</v>
      </c>
    </row>
    <row r="144" spans="1:14" ht="14.5" customHeight="1" x14ac:dyDescent="0.35">
      <c r="A144" t="s">
        <v>1459</v>
      </c>
      <c r="B144" t="s">
        <v>1460</v>
      </c>
      <c r="C144">
        <v>72</v>
      </c>
      <c r="D144" t="s">
        <v>138</v>
      </c>
      <c r="E144" t="s">
        <v>130</v>
      </c>
      <c r="F144" t="s">
        <v>17</v>
      </c>
      <c r="G144" t="s">
        <v>40</v>
      </c>
      <c r="H144">
        <v>165</v>
      </c>
      <c r="I144">
        <v>0</v>
      </c>
      <c r="K144" t="s">
        <v>46</v>
      </c>
      <c r="L144" t="s">
        <v>42</v>
      </c>
      <c r="M144" t="s">
        <v>1461</v>
      </c>
      <c r="N144">
        <v>23120.93</v>
      </c>
    </row>
    <row r="145" spans="1:14" ht="14.5" customHeight="1" x14ac:dyDescent="0.35">
      <c r="A145" t="s">
        <v>64</v>
      </c>
      <c r="B145" t="s">
        <v>499</v>
      </c>
      <c r="C145">
        <v>71</v>
      </c>
      <c r="D145" t="s">
        <v>138</v>
      </c>
      <c r="E145" t="s">
        <v>53</v>
      </c>
      <c r="F145" t="s">
        <v>2517</v>
      </c>
      <c r="G145" t="s">
        <v>35</v>
      </c>
      <c r="H145">
        <v>183</v>
      </c>
      <c r="I145">
        <v>92.9</v>
      </c>
      <c r="J145" t="s">
        <v>65</v>
      </c>
      <c r="K145" t="s">
        <v>47</v>
      </c>
      <c r="L145" t="s">
        <v>21</v>
      </c>
      <c r="M145" t="s">
        <v>66</v>
      </c>
      <c r="N145">
        <v>29602.74</v>
      </c>
    </row>
    <row r="146" spans="1:14" ht="14.5" customHeight="1" x14ac:dyDescent="0.35">
      <c r="A146" t="s">
        <v>1157</v>
      </c>
      <c r="B146" t="s">
        <v>1158</v>
      </c>
      <c r="C146">
        <v>71</v>
      </c>
      <c r="D146" t="s">
        <v>29</v>
      </c>
      <c r="E146" t="s">
        <v>130</v>
      </c>
      <c r="F146" t="s">
        <v>2518</v>
      </c>
      <c r="G146" t="s">
        <v>36</v>
      </c>
      <c r="H146">
        <v>176.4</v>
      </c>
      <c r="I146">
        <v>103.4</v>
      </c>
      <c r="K146" t="s">
        <v>19</v>
      </c>
      <c r="L146" t="s">
        <v>55</v>
      </c>
      <c r="M146" t="s">
        <v>1159</v>
      </c>
      <c r="N146">
        <v>3177.13</v>
      </c>
    </row>
    <row r="147" spans="1:14" ht="14.5" customHeight="1" x14ac:dyDescent="0.35">
      <c r="A147" t="s">
        <v>1265</v>
      </c>
      <c r="B147" t="s">
        <v>1266</v>
      </c>
      <c r="C147">
        <v>71</v>
      </c>
      <c r="D147" t="s">
        <v>29</v>
      </c>
      <c r="E147" t="s">
        <v>119</v>
      </c>
      <c r="F147" t="s">
        <v>79</v>
      </c>
      <c r="G147" t="s">
        <v>102</v>
      </c>
      <c r="H147">
        <v>182</v>
      </c>
      <c r="I147">
        <v>46</v>
      </c>
      <c r="J147" t="s">
        <v>95</v>
      </c>
      <c r="K147" t="s">
        <v>19</v>
      </c>
      <c r="L147" t="s">
        <v>226</v>
      </c>
      <c r="M147" t="s">
        <v>1267</v>
      </c>
    </row>
    <row r="148" spans="1:14" ht="14.5" customHeight="1" x14ac:dyDescent="0.35">
      <c r="A148" t="s">
        <v>196</v>
      </c>
      <c r="B148" t="s">
        <v>197</v>
      </c>
      <c r="C148">
        <v>70</v>
      </c>
      <c r="D148" t="s">
        <v>29</v>
      </c>
      <c r="E148" t="s">
        <v>78</v>
      </c>
      <c r="F148" t="s">
        <v>17</v>
      </c>
      <c r="G148" t="s">
        <v>198</v>
      </c>
      <c r="H148">
        <v>182.3</v>
      </c>
      <c r="I148">
        <v>93.5</v>
      </c>
      <c r="J148" t="s">
        <v>41</v>
      </c>
      <c r="K148" t="s">
        <v>85</v>
      </c>
      <c r="L148" t="s">
        <v>199</v>
      </c>
      <c r="M148" t="s">
        <v>200</v>
      </c>
      <c r="N148">
        <v>14520.79</v>
      </c>
    </row>
    <row r="149" spans="1:14" ht="14.5" customHeight="1" x14ac:dyDescent="0.35">
      <c r="A149" t="s">
        <v>748</v>
      </c>
      <c r="B149" t="s">
        <v>749</v>
      </c>
      <c r="C149">
        <v>70</v>
      </c>
      <c r="D149" t="s">
        <v>52</v>
      </c>
      <c r="E149" t="s">
        <v>24</v>
      </c>
      <c r="F149" t="s">
        <v>79</v>
      </c>
      <c r="G149" t="s">
        <v>295</v>
      </c>
      <c r="H149">
        <v>153</v>
      </c>
      <c r="I149">
        <v>0</v>
      </c>
      <c r="J149" t="s">
        <v>41</v>
      </c>
      <c r="K149" t="s">
        <v>142</v>
      </c>
      <c r="L149" t="s">
        <v>55</v>
      </c>
      <c r="M149" t="s">
        <v>750</v>
      </c>
      <c r="N149">
        <v>48768.74</v>
      </c>
    </row>
    <row r="150" spans="1:14" ht="14.5" customHeight="1" x14ac:dyDescent="0.35">
      <c r="A150" t="s">
        <v>1331</v>
      </c>
      <c r="B150" t="s">
        <v>1332</v>
      </c>
      <c r="C150">
        <v>70</v>
      </c>
      <c r="D150" t="s">
        <v>29</v>
      </c>
      <c r="E150" t="s">
        <v>45</v>
      </c>
      <c r="F150" t="s">
        <v>36</v>
      </c>
      <c r="G150" t="s">
        <v>208</v>
      </c>
      <c r="H150">
        <v>188.9</v>
      </c>
      <c r="I150">
        <v>128</v>
      </c>
      <c r="J150" t="s">
        <v>46</v>
      </c>
      <c r="K150" t="s">
        <v>47</v>
      </c>
      <c r="L150" t="s">
        <v>31</v>
      </c>
      <c r="M150" t="s">
        <v>1333</v>
      </c>
      <c r="N150">
        <v>4472.37</v>
      </c>
    </row>
    <row r="151" spans="1:14" ht="14.5" customHeight="1" x14ac:dyDescent="0.35">
      <c r="A151" t="s">
        <v>71</v>
      </c>
      <c r="B151" t="s">
        <v>72</v>
      </c>
      <c r="C151">
        <v>69</v>
      </c>
      <c r="D151" t="s">
        <v>29</v>
      </c>
      <c r="E151" t="s">
        <v>73</v>
      </c>
      <c r="F151" t="s">
        <v>2517</v>
      </c>
      <c r="G151" t="s">
        <v>74</v>
      </c>
      <c r="H151">
        <v>168.7</v>
      </c>
      <c r="I151">
        <v>64.099999999999994</v>
      </c>
      <c r="J151" t="s">
        <v>61</v>
      </c>
      <c r="K151" t="s">
        <v>19</v>
      </c>
      <c r="L151" t="s">
        <v>42</v>
      </c>
      <c r="M151" t="s">
        <v>75</v>
      </c>
      <c r="N151">
        <v>11317.83</v>
      </c>
    </row>
    <row r="152" spans="1:14" ht="14.5" customHeight="1" x14ac:dyDescent="0.35">
      <c r="A152" t="s">
        <v>465</v>
      </c>
      <c r="B152" t="s">
        <v>466</v>
      </c>
      <c r="C152">
        <v>69</v>
      </c>
      <c r="D152" t="s">
        <v>138</v>
      </c>
      <c r="E152" t="s">
        <v>45</v>
      </c>
      <c r="F152" t="s">
        <v>2518</v>
      </c>
      <c r="G152" t="s">
        <v>160</v>
      </c>
      <c r="H152">
        <v>168.8</v>
      </c>
      <c r="J152" t="s">
        <v>94</v>
      </c>
      <c r="K152" t="s">
        <v>47</v>
      </c>
      <c r="L152" t="s">
        <v>143</v>
      </c>
      <c r="M152" t="s">
        <v>467</v>
      </c>
    </row>
    <row r="153" spans="1:14" ht="14.5" customHeight="1" x14ac:dyDescent="0.35">
      <c r="A153" t="s">
        <v>1413</v>
      </c>
      <c r="B153" t="s">
        <v>1414</v>
      </c>
      <c r="C153">
        <v>69</v>
      </c>
      <c r="D153" t="s">
        <v>29</v>
      </c>
      <c r="E153" t="s">
        <v>84</v>
      </c>
      <c r="F153" t="s">
        <v>273</v>
      </c>
      <c r="G153" t="s">
        <v>208</v>
      </c>
      <c r="H153">
        <v>150.6</v>
      </c>
      <c r="I153">
        <v>100</v>
      </c>
      <c r="K153" t="s">
        <v>20</v>
      </c>
      <c r="L153" t="s">
        <v>69</v>
      </c>
      <c r="M153" t="s">
        <v>241</v>
      </c>
      <c r="N153">
        <v>16849.53</v>
      </c>
    </row>
    <row r="154" spans="1:14" ht="14.5" customHeight="1" x14ac:dyDescent="0.35">
      <c r="A154" t="s">
        <v>213</v>
      </c>
      <c r="B154" t="s">
        <v>2415</v>
      </c>
      <c r="C154">
        <v>68</v>
      </c>
      <c r="D154" t="s">
        <v>138</v>
      </c>
      <c r="E154" t="s">
        <v>89</v>
      </c>
      <c r="F154" t="s">
        <v>2518</v>
      </c>
      <c r="G154" t="s">
        <v>60</v>
      </c>
      <c r="H154">
        <v>154.19999999999999</v>
      </c>
      <c r="I154">
        <v>50.7</v>
      </c>
      <c r="J154" t="s">
        <v>65</v>
      </c>
      <c r="K154" t="s">
        <v>65</v>
      </c>
      <c r="L154" t="s">
        <v>48</v>
      </c>
      <c r="M154" t="s">
        <v>214</v>
      </c>
      <c r="N154">
        <v>26377.49</v>
      </c>
    </row>
    <row r="155" spans="1:14" ht="14.5" customHeight="1" x14ac:dyDescent="0.35">
      <c r="A155" t="s">
        <v>534</v>
      </c>
      <c r="B155" t="s">
        <v>535</v>
      </c>
      <c r="C155">
        <v>68</v>
      </c>
      <c r="D155" t="s">
        <v>52</v>
      </c>
      <c r="E155" t="s">
        <v>59</v>
      </c>
      <c r="F155" t="s">
        <v>134</v>
      </c>
      <c r="G155" t="s">
        <v>36</v>
      </c>
      <c r="H155">
        <v>162.19999999999999</v>
      </c>
      <c r="I155">
        <v>104</v>
      </c>
      <c r="J155" t="s">
        <v>85</v>
      </c>
      <c r="K155" t="s">
        <v>19</v>
      </c>
      <c r="L155" t="s">
        <v>69</v>
      </c>
      <c r="M155" t="s">
        <v>536</v>
      </c>
      <c r="N155">
        <v>47232.44</v>
      </c>
    </row>
    <row r="156" spans="1:14" ht="14.5" customHeight="1" x14ac:dyDescent="0.35">
      <c r="A156" t="s">
        <v>764</v>
      </c>
      <c r="B156" t="s">
        <v>2452</v>
      </c>
      <c r="C156">
        <v>68</v>
      </c>
      <c r="D156" t="s">
        <v>29</v>
      </c>
      <c r="E156" t="s">
        <v>111</v>
      </c>
      <c r="F156" t="s">
        <v>2517</v>
      </c>
      <c r="G156" t="s">
        <v>36</v>
      </c>
      <c r="H156">
        <v>174</v>
      </c>
      <c r="J156" t="s">
        <v>85</v>
      </c>
      <c r="K156" t="s">
        <v>62</v>
      </c>
      <c r="L156" t="s">
        <v>143</v>
      </c>
      <c r="M156" t="s">
        <v>765</v>
      </c>
      <c r="N156">
        <v>19274.189999999999</v>
      </c>
    </row>
    <row r="157" spans="1:14" ht="14.5" customHeight="1" x14ac:dyDescent="0.35">
      <c r="A157" t="s">
        <v>1045</v>
      </c>
      <c r="B157" t="s">
        <v>1046</v>
      </c>
      <c r="C157">
        <v>68</v>
      </c>
      <c r="D157" t="s">
        <v>138</v>
      </c>
      <c r="E157" t="s">
        <v>217</v>
      </c>
      <c r="F157" t="s">
        <v>2518</v>
      </c>
      <c r="G157" t="s">
        <v>102</v>
      </c>
      <c r="H157">
        <v>172</v>
      </c>
      <c r="I157">
        <v>67</v>
      </c>
      <c r="J157" t="s">
        <v>20</v>
      </c>
      <c r="K157" t="s">
        <v>47</v>
      </c>
      <c r="L157" t="s">
        <v>103</v>
      </c>
      <c r="M157" t="s">
        <v>1047</v>
      </c>
      <c r="N157">
        <v>26010.78</v>
      </c>
    </row>
    <row r="158" spans="1:14" ht="14.5" customHeight="1" x14ac:dyDescent="0.35">
      <c r="A158" t="s">
        <v>1146</v>
      </c>
      <c r="B158" t="s">
        <v>1147</v>
      </c>
      <c r="C158">
        <v>68</v>
      </c>
      <c r="D158" t="s">
        <v>29</v>
      </c>
      <c r="E158" t="s">
        <v>217</v>
      </c>
      <c r="F158" t="s">
        <v>17</v>
      </c>
      <c r="G158" t="s">
        <v>54</v>
      </c>
      <c r="H158">
        <v>181</v>
      </c>
      <c r="I158">
        <v>-10</v>
      </c>
      <c r="K158" t="s">
        <v>65</v>
      </c>
      <c r="L158" t="s">
        <v>21</v>
      </c>
      <c r="M158" t="s">
        <v>1148</v>
      </c>
      <c r="N158">
        <v>36490.44</v>
      </c>
    </row>
    <row r="159" spans="1:14" ht="14.5" customHeight="1" x14ac:dyDescent="0.35">
      <c r="A159" t="s">
        <v>1329</v>
      </c>
      <c r="B159" t="s">
        <v>2498</v>
      </c>
      <c r="C159">
        <v>68</v>
      </c>
      <c r="D159" t="s">
        <v>138</v>
      </c>
      <c r="E159" t="s">
        <v>230</v>
      </c>
      <c r="F159" t="s">
        <v>141</v>
      </c>
      <c r="G159" t="s">
        <v>102</v>
      </c>
      <c r="H159">
        <v>184.3</v>
      </c>
      <c r="I159">
        <v>129</v>
      </c>
      <c r="J159" t="s">
        <v>61</v>
      </c>
      <c r="K159" t="s">
        <v>47</v>
      </c>
      <c r="L159" t="s">
        <v>31</v>
      </c>
      <c r="M159" t="s">
        <v>1330</v>
      </c>
      <c r="N159">
        <v>47777.29</v>
      </c>
    </row>
    <row r="160" spans="1:14" ht="14.5" customHeight="1" x14ac:dyDescent="0.35">
      <c r="A160" t="s">
        <v>596</v>
      </c>
      <c r="B160" t="s">
        <v>597</v>
      </c>
      <c r="C160">
        <v>67</v>
      </c>
      <c r="D160" t="s">
        <v>29</v>
      </c>
      <c r="E160" t="s">
        <v>73</v>
      </c>
      <c r="F160" t="s">
        <v>2518</v>
      </c>
      <c r="G160" t="s">
        <v>60</v>
      </c>
      <c r="H160">
        <v>170.8</v>
      </c>
      <c r="I160">
        <v>65.3</v>
      </c>
      <c r="J160" t="s">
        <v>65</v>
      </c>
      <c r="K160" t="s">
        <v>20</v>
      </c>
      <c r="L160" t="s">
        <v>42</v>
      </c>
      <c r="M160" t="s">
        <v>598</v>
      </c>
    </row>
    <row r="161" spans="1:14" ht="14.5" customHeight="1" x14ac:dyDescent="0.35">
      <c r="A161" t="s">
        <v>1061</v>
      </c>
      <c r="B161" t="s">
        <v>2476</v>
      </c>
      <c r="C161">
        <v>66</v>
      </c>
      <c r="D161" t="s">
        <v>138</v>
      </c>
      <c r="E161" t="s">
        <v>16</v>
      </c>
      <c r="F161" t="s">
        <v>79</v>
      </c>
      <c r="G161" t="s">
        <v>160</v>
      </c>
      <c r="H161">
        <v>194.7</v>
      </c>
      <c r="I161">
        <v>85</v>
      </c>
      <c r="J161" t="s">
        <v>20</v>
      </c>
      <c r="K161" t="s">
        <v>30</v>
      </c>
      <c r="L161" t="s">
        <v>48</v>
      </c>
      <c r="M161" t="s">
        <v>1062</v>
      </c>
      <c r="N161">
        <v>14427.14</v>
      </c>
    </row>
    <row r="162" spans="1:14" ht="14.5" customHeight="1" x14ac:dyDescent="0.35">
      <c r="A162" t="s">
        <v>1089</v>
      </c>
      <c r="B162" t="s">
        <v>2479</v>
      </c>
      <c r="C162">
        <v>66</v>
      </c>
      <c r="D162" t="s">
        <v>138</v>
      </c>
      <c r="E162" t="s">
        <v>45</v>
      </c>
      <c r="F162" t="s">
        <v>141</v>
      </c>
      <c r="G162" t="s">
        <v>35</v>
      </c>
      <c r="H162">
        <v>160.9</v>
      </c>
      <c r="I162">
        <v>74.599999999999994</v>
      </c>
      <c r="J162" t="s">
        <v>61</v>
      </c>
      <c r="K162" t="s">
        <v>85</v>
      </c>
      <c r="L162" t="s">
        <v>175</v>
      </c>
      <c r="M162" t="s">
        <v>686</v>
      </c>
      <c r="N162">
        <v>36175.730000000003</v>
      </c>
    </row>
    <row r="163" spans="1:14" ht="14.5" customHeight="1" x14ac:dyDescent="0.35">
      <c r="A163" t="s">
        <v>1407</v>
      </c>
      <c r="B163" t="s">
        <v>1408</v>
      </c>
      <c r="C163">
        <v>66</v>
      </c>
      <c r="D163" t="s">
        <v>29</v>
      </c>
      <c r="E163" t="s">
        <v>115</v>
      </c>
      <c r="F163" t="s">
        <v>36</v>
      </c>
      <c r="G163" t="s">
        <v>280</v>
      </c>
      <c r="H163">
        <v>173</v>
      </c>
      <c r="I163">
        <v>50.3</v>
      </c>
      <c r="J163" t="s">
        <v>41</v>
      </c>
      <c r="K163" t="s">
        <v>95</v>
      </c>
      <c r="L163" t="s">
        <v>48</v>
      </c>
      <c r="M163" t="s">
        <v>1409</v>
      </c>
      <c r="N163">
        <v>11151.62</v>
      </c>
    </row>
    <row r="164" spans="1:14" ht="14.5" customHeight="1" x14ac:dyDescent="0.35">
      <c r="A164" t="s">
        <v>225</v>
      </c>
      <c r="B164" t="s">
        <v>2416</v>
      </c>
      <c r="C164">
        <v>65</v>
      </c>
      <c r="D164" t="s">
        <v>138</v>
      </c>
      <c r="E164" t="s">
        <v>78</v>
      </c>
      <c r="F164" t="s">
        <v>273</v>
      </c>
      <c r="G164" t="s">
        <v>160</v>
      </c>
      <c r="H164">
        <v>1.8</v>
      </c>
      <c r="I164">
        <v>68.2</v>
      </c>
      <c r="L164" t="s">
        <v>226</v>
      </c>
      <c r="M164" t="s">
        <v>227</v>
      </c>
      <c r="N164">
        <v>7641.76</v>
      </c>
    </row>
    <row r="165" spans="1:14" ht="14.5" customHeight="1" x14ac:dyDescent="0.35">
      <c r="A165" t="s">
        <v>363</v>
      </c>
      <c r="B165" t="s">
        <v>364</v>
      </c>
      <c r="C165">
        <v>65</v>
      </c>
      <c r="D165" t="s">
        <v>29</v>
      </c>
      <c r="E165" t="s">
        <v>217</v>
      </c>
      <c r="F165" t="s">
        <v>2518</v>
      </c>
      <c r="G165" t="s">
        <v>160</v>
      </c>
      <c r="H165">
        <v>159</v>
      </c>
      <c r="I165">
        <v>62</v>
      </c>
      <c r="L165" t="s">
        <v>103</v>
      </c>
      <c r="M165" t="s">
        <v>365</v>
      </c>
      <c r="N165">
        <v>18241.080000000002</v>
      </c>
    </row>
    <row r="166" spans="1:14" ht="14.5" customHeight="1" x14ac:dyDescent="0.35">
      <c r="A166" t="s">
        <v>639</v>
      </c>
      <c r="B166" t="s">
        <v>640</v>
      </c>
      <c r="C166">
        <v>65</v>
      </c>
      <c r="D166" t="s">
        <v>29</v>
      </c>
      <c r="E166" t="s">
        <v>24</v>
      </c>
      <c r="F166" t="s">
        <v>120</v>
      </c>
      <c r="G166" t="s">
        <v>124</v>
      </c>
      <c r="H166">
        <v>191.1</v>
      </c>
      <c r="I166">
        <v>-10</v>
      </c>
      <c r="J166" t="s">
        <v>19</v>
      </c>
      <c r="L166" t="s">
        <v>226</v>
      </c>
      <c r="M166" t="s">
        <v>641</v>
      </c>
      <c r="N166">
        <v>34392.370000000003</v>
      </c>
    </row>
    <row r="167" spans="1:14" ht="14.5" customHeight="1" x14ac:dyDescent="0.35">
      <c r="A167" t="s">
        <v>1470</v>
      </c>
      <c r="B167" t="s">
        <v>1471</v>
      </c>
      <c r="C167">
        <v>65</v>
      </c>
      <c r="D167" t="s">
        <v>29</v>
      </c>
      <c r="E167" t="s">
        <v>84</v>
      </c>
      <c r="F167" t="s">
        <v>141</v>
      </c>
      <c r="G167" t="s">
        <v>191</v>
      </c>
      <c r="H167">
        <v>183</v>
      </c>
      <c r="I167">
        <v>54</v>
      </c>
      <c r="K167" t="s">
        <v>30</v>
      </c>
      <c r="L167" t="s">
        <v>42</v>
      </c>
      <c r="M167" t="s">
        <v>1472</v>
      </c>
      <c r="N167">
        <v>22164.83</v>
      </c>
    </row>
    <row r="168" spans="1:14" ht="14.5" customHeight="1" x14ac:dyDescent="0.35">
      <c r="A168" t="s">
        <v>168</v>
      </c>
      <c r="B168" t="s">
        <v>169</v>
      </c>
      <c r="C168">
        <v>64</v>
      </c>
      <c r="D168" t="s">
        <v>29</v>
      </c>
      <c r="E168" t="s">
        <v>130</v>
      </c>
      <c r="F168" t="s">
        <v>2518</v>
      </c>
      <c r="G168" t="s">
        <v>18</v>
      </c>
      <c r="H168">
        <v>183</v>
      </c>
      <c r="J168" t="s">
        <v>85</v>
      </c>
      <c r="K168" t="s">
        <v>46</v>
      </c>
      <c r="L168" t="s">
        <v>143</v>
      </c>
      <c r="M168" t="s">
        <v>170</v>
      </c>
      <c r="N168">
        <v>41483.46</v>
      </c>
    </row>
    <row r="169" spans="1:14" ht="14.5" customHeight="1" x14ac:dyDescent="0.35">
      <c r="A169" t="s">
        <v>349</v>
      </c>
      <c r="B169" t="s">
        <v>2424</v>
      </c>
      <c r="C169">
        <v>64</v>
      </c>
      <c r="D169" t="s">
        <v>29</v>
      </c>
      <c r="E169" t="s">
        <v>53</v>
      </c>
      <c r="F169" t="s">
        <v>36</v>
      </c>
      <c r="G169" t="s">
        <v>198</v>
      </c>
      <c r="H169">
        <v>178</v>
      </c>
      <c r="I169">
        <v>61</v>
      </c>
      <c r="J169" t="s">
        <v>85</v>
      </c>
      <c r="K169" t="s">
        <v>19</v>
      </c>
      <c r="L169" t="s">
        <v>143</v>
      </c>
      <c r="M169" t="s">
        <v>350</v>
      </c>
      <c r="N169">
        <v>14576.11</v>
      </c>
    </row>
    <row r="170" spans="1:14" ht="14.5" customHeight="1" x14ac:dyDescent="0.35">
      <c r="A170" t="s">
        <v>548</v>
      </c>
      <c r="B170" t="s">
        <v>549</v>
      </c>
      <c r="C170">
        <v>64</v>
      </c>
      <c r="D170" t="s">
        <v>29</v>
      </c>
      <c r="E170" t="s">
        <v>24</v>
      </c>
      <c r="F170" t="s">
        <v>36</v>
      </c>
      <c r="G170" t="s">
        <v>191</v>
      </c>
      <c r="H170">
        <v>190</v>
      </c>
      <c r="I170">
        <v>102</v>
      </c>
      <c r="J170" t="s">
        <v>41</v>
      </c>
      <c r="K170" t="s">
        <v>19</v>
      </c>
      <c r="L170" t="s">
        <v>96</v>
      </c>
      <c r="M170" t="s">
        <v>550</v>
      </c>
      <c r="N170">
        <v>860.87</v>
      </c>
    </row>
    <row r="171" spans="1:14" ht="14.5" customHeight="1" x14ac:dyDescent="0.35">
      <c r="A171" t="s">
        <v>811</v>
      </c>
      <c r="B171" t="s">
        <v>2456</v>
      </c>
      <c r="C171">
        <v>64</v>
      </c>
      <c r="D171" t="s">
        <v>138</v>
      </c>
      <c r="E171" t="s">
        <v>24</v>
      </c>
      <c r="F171" t="s">
        <v>17</v>
      </c>
      <c r="G171" t="s">
        <v>35</v>
      </c>
      <c r="H171">
        <v>183.7</v>
      </c>
      <c r="I171">
        <v>85</v>
      </c>
      <c r="J171" t="s">
        <v>95</v>
      </c>
      <c r="K171" t="s">
        <v>47</v>
      </c>
      <c r="L171" t="s">
        <v>96</v>
      </c>
      <c r="M171" t="s">
        <v>812</v>
      </c>
      <c r="N171">
        <v>15486.25</v>
      </c>
    </row>
    <row r="172" spans="1:14" ht="14.5" customHeight="1" x14ac:dyDescent="0.35">
      <c r="A172" t="s">
        <v>1200</v>
      </c>
      <c r="B172" t="s">
        <v>1201</v>
      </c>
      <c r="C172">
        <v>64</v>
      </c>
      <c r="D172" t="s">
        <v>29</v>
      </c>
      <c r="E172" t="s">
        <v>89</v>
      </c>
      <c r="F172" t="s">
        <v>2518</v>
      </c>
      <c r="G172" t="s">
        <v>54</v>
      </c>
      <c r="H172">
        <v>151</v>
      </c>
      <c r="J172" t="s">
        <v>65</v>
      </c>
      <c r="K172" t="s">
        <v>62</v>
      </c>
      <c r="L172" t="s">
        <v>175</v>
      </c>
      <c r="M172" t="s">
        <v>1202</v>
      </c>
      <c r="N172">
        <v>9316.69</v>
      </c>
    </row>
    <row r="173" spans="1:14" ht="14.5" customHeight="1" x14ac:dyDescent="0.35">
      <c r="A173" t="s">
        <v>1323</v>
      </c>
      <c r="B173" t="s">
        <v>1324</v>
      </c>
      <c r="C173">
        <v>64</v>
      </c>
      <c r="D173" t="s">
        <v>138</v>
      </c>
      <c r="E173" t="s">
        <v>53</v>
      </c>
      <c r="F173" t="s">
        <v>2518</v>
      </c>
      <c r="G173" t="s">
        <v>35</v>
      </c>
      <c r="H173">
        <v>150</v>
      </c>
      <c r="I173">
        <v>47</v>
      </c>
      <c r="J173" t="s">
        <v>85</v>
      </c>
      <c r="K173" t="s">
        <v>20</v>
      </c>
      <c r="L173" t="s">
        <v>26</v>
      </c>
      <c r="M173" t="s">
        <v>1325</v>
      </c>
      <c r="N173">
        <v>18331.73</v>
      </c>
    </row>
    <row r="174" spans="1:14" ht="14.5" customHeight="1" x14ac:dyDescent="0.35">
      <c r="A174" t="s">
        <v>1334</v>
      </c>
      <c r="B174" t="s">
        <v>1335</v>
      </c>
      <c r="C174">
        <v>64</v>
      </c>
      <c r="D174" t="s">
        <v>29</v>
      </c>
      <c r="E174" t="s">
        <v>146</v>
      </c>
      <c r="F174" t="s">
        <v>273</v>
      </c>
      <c r="G174" t="s">
        <v>36</v>
      </c>
      <c r="H174">
        <v>182.1</v>
      </c>
      <c r="I174">
        <v>128</v>
      </c>
      <c r="J174" t="s">
        <v>46</v>
      </c>
      <c r="K174" t="s">
        <v>95</v>
      </c>
      <c r="L174" t="s">
        <v>103</v>
      </c>
      <c r="M174" t="s">
        <v>1336</v>
      </c>
      <c r="N174">
        <v>39944.11</v>
      </c>
    </row>
    <row r="175" spans="1:14" ht="14.5" customHeight="1" x14ac:dyDescent="0.35">
      <c r="A175" t="s">
        <v>268</v>
      </c>
      <c r="B175" t="s">
        <v>269</v>
      </c>
      <c r="C175">
        <v>63</v>
      </c>
      <c r="D175" t="s">
        <v>138</v>
      </c>
      <c r="E175" t="s">
        <v>115</v>
      </c>
      <c r="F175" t="s">
        <v>2517</v>
      </c>
      <c r="G175" t="s">
        <v>102</v>
      </c>
      <c r="H175">
        <v>184.8</v>
      </c>
      <c r="I175">
        <v>77</v>
      </c>
      <c r="K175" t="s">
        <v>30</v>
      </c>
      <c r="L175" t="s">
        <v>42</v>
      </c>
      <c r="M175" t="s">
        <v>270</v>
      </c>
      <c r="N175">
        <v>24967.61</v>
      </c>
    </row>
    <row r="176" spans="1:14" ht="14.5" customHeight="1" x14ac:dyDescent="0.35">
      <c r="A176" t="s">
        <v>285</v>
      </c>
      <c r="B176" t="s">
        <v>286</v>
      </c>
      <c r="C176">
        <v>63</v>
      </c>
      <c r="D176" t="s">
        <v>138</v>
      </c>
      <c r="E176" t="s">
        <v>16</v>
      </c>
      <c r="F176" t="s">
        <v>17</v>
      </c>
      <c r="G176" t="s">
        <v>18</v>
      </c>
      <c r="H176">
        <v>162</v>
      </c>
      <c r="I176">
        <v>91.6</v>
      </c>
      <c r="J176" t="s">
        <v>41</v>
      </c>
      <c r="K176" t="s">
        <v>46</v>
      </c>
      <c r="L176" t="s">
        <v>42</v>
      </c>
      <c r="M176" t="s">
        <v>287</v>
      </c>
      <c r="N176">
        <v>2582.29</v>
      </c>
    </row>
    <row r="177" spans="1:14" ht="14.5" customHeight="1" x14ac:dyDescent="0.35">
      <c r="A177" t="s">
        <v>504</v>
      </c>
      <c r="B177" t="s">
        <v>505</v>
      </c>
      <c r="C177">
        <v>63</v>
      </c>
      <c r="D177" t="s">
        <v>29</v>
      </c>
      <c r="E177" t="s">
        <v>89</v>
      </c>
      <c r="F177" t="s">
        <v>273</v>
      </c>
      <c r="G177" t="s">
        <v>80</v>
      </c>
      <c r="H177">
        <v>156</v>
      </c>
      <c r="I177">
        <v>116.1</v>
      </c>
      <c r="K177" t="s">
        <v>46</v>
      </c>
      <c r="L177" t="s">
        <v>31</v>
      </c>
      <c r="M177" t="s">
        <v>506</v>
      </c>
      <c r="N177">
        <v>5231.0600000000004</v>
      </c>
    </row>
    <row r="178" spans="1:14" ht="14.5" customHeight="1" x14ac:dyDescent="0.35">
      <c r="A178" t="s">
        <v>848</v>
      </c>
      <c r="B178" t="s">
        <v>849</v>
      </c>
      <c r="C178">
        <v>63</v>
      </c>
      <c r="D178" t="s">
        <v>52</v>
      </c>
      <c r="E178" t="s">
        <v>217</v>
      </c>
      <c r="F178" t="s">
        <v>273</v>
      </c>
      <c r="G178" t="s">
        <v>208</v>
      </c>
      <c r="H178">
        <v>191</v>
      </c>
      <c r="I178">
        <v>117</v>
      </c>
      <c r="K178" t="s">
        <v>46</v>
      </c>
      <c r="L178" t="s">
        <v>175</v>
      </c>
      <c r="M178" t="s">
        <v>850</v>
      </c>
      <c r="N178">
        <v>20207.91</v>
      </c>
    </row>
    <row r="179" spans="1:14" ht="14.5" customHeight="1" x14ac:dyDescent="0.35">
      <c r="A179" t="s">
        <v>193</v>
      </c>
      <c r="B179" t="s">
        <v>194</v>
      </c>
      <c r="C179">
        <v>62</v>
      </c>
      <c r="D179" t="s">
        <v>29</v>
      </c>
      <c r="E179" t="s">
        <v>45</v>
      </c>
      <c r="F179" t="s">
        <v>273</v>
      </c>
      <c r="G179" t="s">
        <v>102</v>
      </c>
      <c r="H179">
        <v>163.1</v>
      </c>
      <c r="I179">
        <v>112</v>
      </c>
      <c r="J179" t="s">
        <v>41</v>
      </c>
      <c r="L179" t="s">
        <v>48</v>
      </c>
      <c r="M179" t="s">
        <v>195</v>
      </c>
      <c r="N179">
        <v>39181.040000000001</v>
      </c>
    </row>
    <row r="180" spans="1:14" ht="14.5" customHeight="1" x14ac:dyDescent="0.35">
      <c r="A180" t="s">
        <v>588</v>
      </c>
      <c r="B180" t="s">
        <v>2439</v>
      </c>
      <c r="C180">
        <v>62</v>
      </c>
      <c r="D180" t="s">
        <v>29</v>
      </c>
      <c r="E180" t="s">
        <v>130</v>
      </c>
      <c r="F180" t="s">
        <v>273</v>
      </c>
      <c r="G180" t="s">
        <v>208</v>
      </c>
      <c r="H180">
        <v>156.30000000000001</v>
      </c>
      <c r="I180">
        <v>57.7</v>
      </c>
      <c r="L180" t="s">
        <v>55</v>
      </c>
      <c r="M180" t="s">
        <v>589</v>
      </c>
      <c r="N180">
        <v>24367.58</v>
      </c>
    </row>
    <row r="181" spans="1:14" ht="14.5" customHeight="1" x14ac:dyDescent="0.35">
      <c r="A181" t="s">
        <v>903</v>
      </c>
      <c r="B181" t="s">
        <v>904</v>
      </c>
      <c r="C181">
        <v>62</v>
      </c>
      <c r="D181" t="s">
        <v>138</v>
      </c>
      <c r="E181" t="s">
        <v>89</v>
      </c>
      <c r="F181" t="s">
        <v>120</v>
      </c>
      <c r="G181" t="s">
        <v>295</v>
      </c>
      <c r="H181">
        <v>160</v>
      </c>
      <c r="I181">
        <v>40.700000000000003</v>
      </c>
      <c r="L181" t="s">
        <v>31</v>
      </c>
      <c r="M181" t="s">
        <v>270</v>
      </c>
      <c r="N181">
        <v>22210.06</v>
      </c>
    </row>
    <row r="182" spans="1:14" ht="14.5" customHeight="1" x14ac:dyDescent="0.35">
      <c r="A182" t="s">
        <v>948</v>
      </c>
      <c r="B182" t="s">
        <v>949</v>
      </c>
      <c r="C182">
        <v>62</v>
      </c>
      <c r="D182" t="s">
        <v>138</v>
      </c>
      <c r="E182" t="s">
        <v>130</v>
      </c>
      <c r="F182" t="s">
        <v>273</v>
      </c>
      <c r="G182" t="s">
        <v>35</v>
      </c>
      <c r="H182">
        <v>173.7</v>
      </c>
      <c r="I182">
        <v>48</v>
      </c>
      <c r="L182" t="s">
        <v>26</v>
      </c>
      <c r="M182" t="s">
        <v>950</v>
      </c>
      <c r="N182">
        <v>11942.43</v>
      </c>
    </row>
    <row r="183" spans="1:14" ht="14.5" customHeight="1" x14ac:dyDescent="0.35">
      <c r="A183" t="s">
        <v>969</v>
      </c>
      <c r="B183" t="s">
        <v>970</v>
      </c>
      <c r="C183">
        <v>62</v>
      </c>
      <c r="D183" t="s">
        <v>52</v>
      </c>
      <c r="E183" t="s">
        <v>45</v>
      </c>
      <c r="F183" t="s">
        <v>79</v>
      </c>
      <c r="G183" t="s">
        <v>102</v>
      </c>
      <c r="H183">
        <v>194</v>
      </c>
      <c r="I183">
        <v>55.2</v>
      </c>
      <c r="J183" t="s">
        <v>36</v>
      </c>
      <c r="K183" t="s">
        <v>20</v>
      </c>
      <c r="L183" t="s">
        <v>26</v>
      </c>
      <c r="M183" t="s">
        <v>971</v>
      </c>
      <c r="N183">
        <v>31016.18</v>
      </c>
    </row>
    <row r="184" spans="1:14" ht="14.5" customHeight="1" x14ac:dyDescent="0.35">
      <c r="A184" t="s">
        <v>122</v>
      </c>
      <c r="B184" t="s">
        <v>123</v>
      </c>
      <c r="C184">
        <v>61</v>
      </c>
      <c r="D184" t="s">
        <v>52</v>
      </c>
      <c r="E184" t="s">
        <v>146</v>
      </c>
      <c r="F184" t="s">
        <v>17</v>
      </c>
      <c r="G184" t="s">
        <v>124</v>
      </c>
      <c r="H184">
        <v>155.4</v>
      </c>
      <c r="I184">
        <v>96</v>
      </c>
      <c r="J184" t="s">
        <v>36</v>
      </c>
      <c r="K184" t="s">
        <v>65</v>
      </c>
      <c r="L184" t="s">
        <v>21</v>
      </c>
      <c r="M184" t="s">
        <v>125</v>
      </c>
      <c r="N184">
        <v>5495.19</v>
      </c>
    </row>
    <row r="185" spans="1:14" ht="14.5" customHeight="1" x14ac:dyDescent="0.35">
      <c r="A185" t="s">
        <v>319</v>
      </c>
      <c r="B185" t="s">
        <v>99</v>
      </c>
      <c r="C185">
        <v>61</v>
      </c>
      <c r="D185" t="s">
        <v>29</v>
      </c>
      <c r="E185" t="s">
        <v>146</v>
      </c>
      <c r="F185" t="s">
        <v>2518</v>
      </c>
      <c r="G185" t="s">
        <v>280</v>
      </c>
      <c r="H185">
        <v>159</v>
      </c>
      <c r="I185">
        <v>111.9</v>
      </c>
      <c r="J185" t="s">
        <v>41</v>
      </c>
      <c r="L185" t="s">
        <v>31</v>
      </c>
      <c r="M185" t="s">
        <v>320</v>
      </c>
      <c r="N185">
        <v>48699.32</v>
      </c>
    </row>
    <row r="186" spans="1:14" ht="14.5" customHeight="1" x14ac:dyDescent="0.35">
      <c r="A186" t="s">
        <v>1306</v>
      </c>
      <c r="B186" t="s">
        <v>609</v>
      </c>
      <c r="C186">
        <v>61</v>
      </c>
      <c r="D186" t="s">
        <v>138</v>
      </c>
      <c r="E186" t="s">
        <v>24</v>
      </c>
      <c r="F186" t="s">
        <v>2518</v>
      </c>
      <c r="G186" t="s">
        <v>36</v>
      </c>
      <c r="H186">
        <v>192.9</v>
      </c>
      <c r="I186">
        <v>48</v>
      </c>
      <c r="J186" t="s">
        <v>61</v>
      </c>
      <c r="L186" t="s">
        <v>55</v>
      </c>
      <c r="M186" t="s">
        <v>1307</v>
      </c>
      <c r="N186">
        <v>21185.31</v>
      </c>
    </row>
    <row r="187" spans="1:14" ht="14.5" customHeight="1" x14ac:dyDescent="0.35">
      <c r="A187" t="s">
        <v>1352</v>
      </c>
      <c r="B187" t="s">
        <v>2500</v>
      </c>
      <c r="C187">
        <v>61</v>
      </c>
      <c r="D187" t="s">
        <v>138</v>
      </c>
      <c r="E187" t="s">
        <v>146</v>
      </c>
      <c r="F187" t="s">
        <v>273</v>
      </c>
      <c r="G187" t="s">
        <v>74</v>
      </c>
      <c r="H187">
        <v>164</v>
      </c>
      <c r="I187">
        <v>55</v>
      </c>
      <c r="J187" t="s">
        <v>65</v>
      </c>
      <c r="K187" t="s">
        <v>65</v>
      </c>
      <c r="L187" t="s">
        <v>107</v>
      </c>
      <c r="M187" t="s">
        <v>1353</v>
      </c>
      <c r="N187">
        <v>24787.759999999998</v>
      </c>
    </row>
    <row r="188" spans="1:14" ht="14.5" customHeight="1" x14ac:dyDescent="0.35">
      <c r="A188" t="s">
        <v>1395</v>
      </c>
      <c r="B188" t="s">
        <v>1396</v>
      </c>
      <c r="C188">
        <v>61</v>
      </c>
      <c r="D188" t="s">
        <v>29</v>
      </c>
      <c r="E188" t="s">
        <v>84</v>
      </c>
      <c r="F188" t="s">
        <v>2518</v>
      </c>
      <c r="G188" t="s">
        <v>36</v>
      </c>
      <c r="H188">
        <v>183</v>
      </c>
      <c r="I188">
        <v>87.5</v>
      </c>
      <c r="J188" t="s">
        <v>65</v>
      </c>
      <c r="K188" t="s">
        <v>30</v>
      </c>
      <c r="L188" t="s">
        <v>26</v>
      </c>
      <c r="M188" t="s">
        <v>1397</v>
      </c>
      <c r="N188">
        <v>45192.959999999999</v>
      </c>
    </row>
    <row r="189" spans="1:14" ht="14.5" customHeight="1" x14ac:dyDescent="0.35">
      <c r="A189" t="s">
        <v>366</v>
      </c>
      <c r="B189" t="s">
        <v>2425</v>
      </c>
      <c r="C189">
        <v>60</v>
      </c>
      <c r="D189" t="s">
        <v>138</v>
      </c>
      <c r="E189" t="s">
        <v>59</v>
      </c>
      <c r="F189" t="s">
        <v>36</v>
      </c>
      <c r="G189" t="s">
        <v>198</v>
      </c>
      <c r="H189">
        <v>145.1</v>
      </c>
      <c r="I189">
        <v>50</v>
      </c>
      <c r="J189" t="s">
        <v>61</v>
      </c>
      <c r="K189" t="s">
        <v>95</v>
      </c>
      <c r="L189" t="s">
        <v>103</v>
      </c>
      <c r="M189" t="s">
        <v>367</v>
      </c>
      <c r="N189">
        <v>33689.07</v>
      </c>
    </row>
    <row r="190" spans="1:14" ht="14.5" customHeight="1" x14ac:dyDescent="0.35">
      <c r="A190" t="s">
        <v>1222</v>
      </c>
      <c r="B190" t="s">
        <v>311</v>
      </c>
      <c r="C190">
        <v>60</v>
      </c>
      <c r="D190" t="s">
        <v>29</v>
      </c>
      <c r="E190" t="s">
        <v>24</v>
      </c>
      <c r="F190" t="s">
        <v>2518</v>
      </c>
      <c r="G190" t="s">
        <v>35</v>
      </c>
      <c r="H190">
        <v>170.6</v>
      </c>
      <c r="I190">
        <v>99.3</v>
      </c>
      <c r="J190" t="s">
        <v>41</v>
      </c>
      <c r="L190" t="s">
        <v>226</v>
      </c>
      <c r="M190" t="s">
        <v>1223</v>
      </c>
    </row>
    <row r="191" spans="1:14" ht="14.5" customHeight="1" x14ac:dyDescent="0.35">
      <c r="A191" t="s">
        <v>132</v>
      </c>
      <c r="B191" t="s">
        <v>133</v>
      </c>
      <c r="C191">
        <v>59</v>
      </c>
      <c r="D191" t="s">
        <v>29</v>
      </c>
      <c r="E191" t="s">
        <v>45</v>
      </c>
      <c r="F191" t="s">
        <v>134</v>
      </c>
      <c r="G191" t="s">
        <v>60</v>
      </c>
      <c r="H191">
        <v>192.2</v>
      </c>
      <c r="I191">
        <v>129</v>
      </c>
      <c r="J191" t="s">
        <v>46</v>
      </c>
      <c r="K191" t="s">
        <v>65</v>
      </c>
      <c r="L191" t="s">
        <v>55</v>
      </c>
      <c r="M191" t="s">
        <v>135</v>
      </c>
      <c r="N191">
        <v>4180.34</v>
      </c>
    </row>
    <row r="192" spans="1:14" ht="14.5" customHeight="1" x14ac:dyDescent="0.35">
      <c r="A192" t="s">
        <v>540</v>
      </c>
      <c r="B192" t="s">
        <v>541</v>
      </c>
      <c r="C192">
        <v>59</v>
      </c>
      <c r="D192" t="s">
        <v>138</v>
      </c>
      <c r="E192" t="s">
        <v>115</v>
      </c>
      <c r="F192" t="s">
        <v>17</v>
      </c>
      <c r="G192" t="s">
        <v>208</v>
      </c>
      <c r="H192">
        <v>171</v>
      </c>
      <c r="I192">
        <v>121</v>
      </c>
      <c r="J192" t="s">
        <v>41</v>
      </c>
      <c r="K192" t="s">
        <v>142</v>
      </c>
      <c r="L192" t="s">
        <v>26</v>
      </c>
      <c r="M192" t="s">
        <v>542</v>
      </c>
      <c r="N192">
        <v>7160.02</v>
      </c>
    </row>
    <row r="193" spans="1:14" ht="14.5" customHeight="1" x14ac:dyDescent="0.35">
      <c r="A193" t="s">
        <v>721</v>
      </c>
      <c r="B193" t="s">
        <v>722</v>
      </c>
      <c r="C193">
        <v>59</v>
      </c>
      <c r="D193" t="s">
        <v>29</v>
      </c>
      <c r="E193" t="s">
        <v>53</v>
      </c>
      <c r="F193" t="s">
        <v>273</v>
      </c>
      <c r="G193" t="s">
        <v>102</v>
      </c>
      <c r="H193">
        <v>181.4</v>
      </c>
      <c r="I193">
        <v>106</v>
      </c>
      <c r="J193" t="s">
        <v>20</v>
      </c>
      <c r="K193" t="s">
        <v>19</v>
      </c>
      <c r="L193" t="s">
        <v>42</v>
      </c>
      <c r="M193" t="s">
        <v>723</v>
      </c>
      <c r="N193">
        <v>40008.28</v>
      </c>
    </row>
    <row r="194" spans="1:14" ht="14.5" customHeight="1" x14ac:dyDescent="0.35">
      <c r="A194" t="s">
        <v>972</v>
      </c>
      <c r="B194" t="s">
        <v>973</v>
      </c>
      <c r="C194">
        <v>59</v>
      </c>
      <c r="D194" t="s">
        <v>29</v>
      </c>
      <c r="E194" t="s">
        <v>73</v>
      </c>
      <c r="F194" t="s">
        <v>17</v>
      </c>
      <c r="G194" t="s">
        <v>60</v>
      </c>
      <c r="H194">
        <v>185</v>
      </c>
      <c r="I194">
        <v>112</v>
      </c>
      <c r="L194" t="s">
        <v>69</v>
      </c>
      <c r="M194" t="s">
        <v>974</v>
      </c>
      <c r="N194">
        <v>42878.99</v>
      </c>
    </row>
    <row r="195" spans="1:14" ht="14.5" customHeight="1" x14ac:dyDescent="0.35">
      <c r="A195" t="s">
        <v>1374</v>
      </c>
      <c r="B195" t="s">
        <v>2502</v>
      </c>
      <c r="C195">
        <v>59</v>
      </c>
      <c r="D195" t="s">
        <v>29</v>
      </c>
      <c r="E195" t="s">
        <v>111</v>
      </c>
      <c r="F195" t="s">
        <v>273</v>
      </c>
      <c r="G195" t="s">
        <v>160</v>
      </c>
      <c r="H195">
        <v>183</v>
      </c>
      <c r="I195">
        <v>67</v>
      </c>
      <c r="J195" t="s">
        <v>95</v>
      </c>
      <c r="K195" t="s">
        <v>46</v>
      </c>
      <c r="L195" t="s">
        <v>42</v>
      </c>
      <c r="M195" t="s">
        <v>1375</v>
      </c>
      <c r="N195">
        <v>47698.239999999998</v>
      </c>
    </row>
    <row r="196" spans="1:14" ht="14.5" customHeight="1" x14ac:dyDescent="0.35">
      <c r="A196" t="s">
        <v>387</v>
      </c>
      <c r="B196" t="s">
        <v>388</v>
      </c>
      <c r="C196">
        <v>58</v>
      </c>
      <c r="D196" t="s">
        <v>52</v>
      </c>
      <c r="E196" t="s">
        <v>59</v>
      </c>
      <c r="F196" t="s">
        <v>2518</v>
      </c>
      <c r="G196" t="s">
        <v>124</v>
      </c>
      <c r="H196">
        <v>182</v>
      </c>
      <c r="I196">
        <v>111.5</v>
      </c>
      <c r="J196" t="s">
        <v>41</v>
      </c>
      <c r="L196" t="s">
        <v>86</v>
      </c>
      <c r="M196" t="s">
        <v>389</v>
      </c>
      <c r="N196">
        <v>29344.99</v>
      </c>
    </row>
    <row r="197" spans="1:14" ht="14.5" customHeight="1" x14ac:dyDescent="0.35">
      <c r="A197" t="s">
        <v>724</v>
      </c>
      <c r="B197" t="s">
        <v>2447</v>
      </c>
      <c r="C197">
        <v>58</v>
      </c>
      <c r="D197" t="s">
        <v>138</v>
      </c>
      <c r="E197" t="s">
        <v>130</v>
      </c>
      <c r="F197" t="s">
        <v>2518</v>
      </c>
      <c r="G197" t="s">
        <v>40</v>
      </c>
      <c r="H197">
        <v>159</v>
      </c>
      <c r="I197">
        <v>74</v>
      </c>
      <c r="J197" t="s">
        <v>95</v>
      </c>
      <c r="K197" t="s">
        <v>65</v>
      </c>
      <c r="L197" t="s">
        <v>107</v>
      </c>
      <c r="M197" t="s">
        <v>725</v>
      </c>
      <c r="N197">
        <v>17902.96</v>
      </c>
    </row>
    <row r="198" spans="1:14" ht="14.5" customHeight="1" x14ac:dyDescent="0.35">
      <c r="A198" t="s">
        <v>1048</v>
      </c>
      <c r="B198" t="s">
        <v>2474</v>
      </c>
      <c r="C198">
        <v>58</v>
      </c>
      <c r="D198" t="s">
        <v>29</v>
      </c>
      <c r="E198" t="s">
        <v>53</v>
      </c>
      <c r="F198" t="s">
        <v>17</v>
      </c>
      <c r="G198" t="s">
        <v>60</v>
      </c>
      <c r="H198">
        <v>179</v>
      </c>
      <c r="I198">
        <v>74</v>
      </c>
      <c r="J198" t="s">
        <v>19</v>
      </c>
      <c r="K198" t="s">
        <v>30</v>
      </c>
      <c r="L198" t="s">
        <v>199</v>
      </c>
      <c r="M198" t="s">
        <v>1049</v>
      </c>
      <c r="N198">
        <v>12319.93</v>
      </c>
    </row>
    <row r="199" spans="1:14" ht="14.5" customHeight="1" x14ac:dyDescent="0.35">
      <c r="A199" t="s">
        <v>1321</v>
      </c>
      <c r="B199" t="s">
        <v>958</v>
      </c>
      <c r="C199">
        <v>58</v>
      </c>
      <c r="D199" t="s">
        <v>138</v>
      </c>
      <c r="E199" t="s">
        <v>84</v>
      </c>
      <c r="F199" t="s">
        <v>2517</v>
      </c>
      <c r="G199" t="s">
        <v>280</v>
      </c>
      <c r="H199">
        <v>187</v>
      </c>
      <c r="I199">
        <v>125.2</v>
      </c>
      <c r="J199" t="s">
        <v>94</v>
      </c>
      <c r="K199" t="s">
        <v>85</v>
      </c>
      <c r="L199" t="s">
        <v>42</v>
      </c>
      <c r="M199" t="s">
        <v>1322</v>
      </c>
      <c r="N199">
        <v>26609.26</v>
      </c>
    </row>
    <row r="200" spans="1:14" ht="14.5" customHeight="1" x14ac:dyDescent="0.35">
      <c r="A200" t="s">
        <v>316</v>
      </c>
      <c r="B200" t="s">
        <v>317</v>
      </c>
      <c r="C200">
        <v>57</v>
      </c>
      <c r="D200" t="s">
        <v>29</v>
      </c>
      <c r="E200" t="s">
        <v>115</v>
      </c>
      <c r="F200" t="s">
        <v>36</v>
      </c>
      <c r="G200" t="s">
        <v>280</v>
      </c>
      <c r="H200">
        <v>152</v>
      </c>
      <c r="I200">
        <v>59</v>
      </c>
      <c r="J200" t="s">
        <v>85</v>
      </c>
      <c r="L200" t="s">
        <v>26</v>
      </c>
      <c r="M200" t="s">
        <v>318</v>
      </c>
      <c r="N200">
        <v>-9103.77</v>
      </c>
    </row>
    <row r="201" spans="1:14" ht="14.5" customHeight="1" x14ac:dyDescent="0.35">
      <c r="A201" t="s">
        <v>651</v>
      </c>
      <c r="B201" t="s">
        <v>652</v>
      </c>
      <c r="C201">
        <v>57</v>
      </c>
      <c r="D201" t="s">
        <v>29</v>
      </c>
      <c r="E201" t="s">
        <v>89</v>
      </c>
      <c r="F201" t="s">
        <v>134</v>
      </c>
      <c r="G201" t="s">
        <v>74</v>
      </c>
      <c r="H201">
        <v>161</v>
      </c>
      <c r="I201">
        <v>117</v>
      </c>
      <c r="J201" t="s">
        <v>94</v>
      </c>
      <c r="K201" t="s">
        <v>46</v>
      </c>
      <c r="L201" t="s">
        <v>175</v>
      </c>
      <c r="M201" t="s">
        <v>653</v>
      </c>
      <c r="N201">
        <v>4632.78</v>
      </c>
    </row>
    <row r="202" spans="1:14" ht="14.5" customHeight="1" x14ac:dyDescent="0.35">
      <c r="A202" t="s">
        <v>671</v>
      </c>
      <c r="B202" t="s">
        <v>672</v>
      </c>
      <c r="C202">
        <v>57</v>
      </c>
      <c r="D202" t="s">
        <v>138</v>
      </c>
      <c r="E202" t="s">
        <v>230</v>
      </c>
      <c r="F202" t="s">
        <v>79</v>
      </c>
      <c r="G202" t="s">
        <v>417</v>
      </c>
      <c r="H202">
        <v>193</v>
      </c>
      <c r="I202">
        <v>117.2</v>
      </c>
      <c r="J202" t="s">
        <v>41</v>
      </c>
      <c r="K202" t="s">
        <v>46</v>
      </c>
      <c r="L202" t="s">
        <v>199</v>
      </c>
      <c r="M202" t="s">
        <v>673</v>
      </c>
      <c r="N202">
        <v>4434.01</v>
      </c>
    </row>
    <row r="203" spans="1:14" ht="14.5" customHeight="1" x14ac:dyDescent="0.35">
      <c r="A203" t="s">
        <v>898</v>
      </c>
      <c r="B203" t="s">
        <v>249</v>
      </c>
      <c r="C203">
        <v>57</v>
      </c>
      <c r="D203" t="s">
        <v>138</v>
      </c>
      <c r="E203" t="s">
        <v>111</v>
      </c>
      <c r="F203" t="s">
        <v>273</v>
      </c>
      <c r="G203" t="s">
        <v>25</v>
      </c>
      <c r="H203">
        <v>153.1</v>
      </c>
      <c r="I203">
        <v>83.7</v>
      </c>
      <c r="J203" t="s">
        <v>61</v>
      </c>
      <c r="K203" t="s">
        <v>85</v>
      </c>
      <c r="L203" t="s">
        <v>175</v>
      </c>
      <c r="M203" t="s">
        <v>899</v>
      </c>
      <c r="N203">
        <v>28551.74</v>
      </c>
    </row>
    <row r="204" spans="1:14" ht="14.5" customHeight="1" x14ac:dyDescent="0.35">
      <c r="A204" t="s">
        <v>1473</v>
      </c>
      <c r="B204" t="s">
        <v>2513</v>
      </c>
      <c r="C204">
        <v>57</v>
      </c>
      <c r="D204" t="s">
        <v>29</v>
      </c>
      <c r="E204" t="s">
        <v>59</v>
      </c>
      <c r="F204" t="s">
        <v>273</v>
      </c>
      <c r="G204" t="s">
        <v>74</v>
      </c>
      <c r="H204">
        <v>1.65</v>
      </c>
      <c r="I204">
        <v>81</v>
      </c>
      <c r="J204" t="s">
        <v>46</v>
      </c>
      <c r="K204" t="s">
        <v>85</v>
      </c>
      <c r="L204" t="s">
        <v>26</v>
      </c>
      <c r="M204" t="s">
        <v>1474</v>
      </c>
      <c r="N204">
        <v>29906.95</v>
      </c>
    </row>
    <row r="205" spans="1:14" ht="14.5" customHeight="1" x14ac:dyDescent="0.35">
      <c r="A205" t="s">
        <v>565</v>
      </c>
      <c r="B205" t="s">
        <v>2438</v>
      </c>
      <c r="C205">
        <v>56</v>
      </c>
      <c r="D205" t="s">
        <v>138</v>
      </c>
      <c r="E205" t="s">
        <v>111</v>
      </c>
      <c r="F205" t="s">
        <v>141</v>
      </c>
      <c r="G205" t="s">
        <v>40</v>
      </c>
      <c r="H205">
        <v>184.8</v>
      </c>
      <c r="I205">
        <v>97</v>
      </c>
      <c r="J205" t="s">
        <v>95</v>
      </c>
      <c r="K205" t="s">
        <v>65</v>
      </c>
      <c r="L205" t="s">
        <v>107</v>
      </c>
      <c r="M205" t="s">
        <v>566</v>
      </c>
      <c r="N205">
        <v>15267.67</v>
      </c>
    </row>
    <row r="206" spans="1:14" ht="14.5" customHeight="1" x14ac:dyDescent="0.35">
      <c r="A206" t="s">
        <v>726</v>
      </c>
      <c r="B206" t="s">
        <v>727</v>
      </c>
      <c r="C206">
        <v>56</v>
      </c>
      <c r="D206" t="s">
        <v>29</v>
      </c>
      <c r="E206" t="s">
        <v>59</v>
      </c>
      <c r="F206" t="s">
        <v>2518</v>
      </c>
      <c r="G206" t="s">
        <v>160</v>
      </c>
      <c r="H206">
        <v>146.9</v>
      </c>
      <c r="I206">
        <v>101.7</v>
      </c>
      <c r="J206" t="s">
        <v>94</v>
      </c>
      <c r="K206" t="s">
        <v>142</v>
      </c>
      <c r="L206" t="s">
        <v>199</v>
      </c>
      <c r="M206" t="s">
        <v>728</v>
      </c>
      <c r="N206">
        <v>3258.99</v>
      </c>
    </row>
    <row r="207" spans="1:14" ht="14.5" customHeight="1" x14ac:dyDescent="0.35">
      <c r="A207" t="s">
        <v>1188</v>
      </c>
      <c r="B207" t="s">
        <v>1189</v>
      </c>
      <c r="C207">
        <v>56</v>
      </c>
      <c r="D207" t="s">
        <v>29</v>
      </c>
      <c r="E207" t="s">
        <v>130</v>
      </c>
      <c r="F207" t="s">
        <v>2517</v>
      </c>
      <c r="G207" t="s">
        <v>417</v>
      </c>
      <c r="H207">
        <v>157.19999999999999</v>
      </c>
      <c r="I207">
        <v>93</v>
      </c>
      <c r="K207" t="s">
        <v>65</v>
      </c>
      <c r="L207" t="s">
        <v>96</v>
      </c>
      <c r="M207" t="s">
        <v>1190</v>
      </c>
      <c r="N207">
        <v>42739.85</v>
      </c>
    </row>
    <row r="208" spans="1:14" ht="14.5" customHeight="1" x14ac:dyDescent="0.35">
      <c r="A208" t="s">
        <v>1475</v>
      </c>
      <c r="B208" t="s">
        <v>2514</v>
      </c>
      <c r="C208">
        <v>56</v>
      </c>
      <c r="D208" t="s">
        <v>29</v>
      </c>
      <c r="E208" t="s">
        <v>146</v>
      </c>
      <c r="F208" t="s">
        <v>2518</v>
      </c>
      <c r="G208" t="s">
        <v>198</v>
      </c>
      <c r="H208">
        <v>147</v>
      </c>
      <c r="I208">
        <v>70</v>
      </c>
      <c r="J208" t="s">
        <v>95</v>
      </c>
      <c r="L208" t="s">
        <v>226</v>
      </c>
      <c r="M208" t="s">
        <v>1476</v>
      </c>
      <c r="N208">
        <v>49154.97</v>
      </c>
    </row>
    <row r="209" spans="1:14" ht="14.5" customHeight="1" x14ac:dyDescent="0.35">
      <c r="A209" t="s">
        <v>154</v>
      </c>
      <c r="B209" t="s">
        <v>2411</v>
      </c>
      <c r="C209">
        <v>55</v>
      </c>
      <c r="D209" t="s">
        <v>138</v>
      </c>
      <c r="E209" t="s">
        <v>130</v>
      </c>
      <c r="F209" t="s">
        <v>79</v>
      </c>
      <c r="G209" t="s">
        <v>90</v>
      </c>
      <c r="H209">
        <v>181.5</v>
      </c>
      <c r="I209">
        <v>102</v>
      </c>
      <c r="K209" t="s">
        <v>47</v>
      </c>
      <c r="L209" t="s">
        <v>48</v>
      </c>
      <c r="M209" t="s">
        <v>155</v>
      </c>
      <c r="N209">
        <v>28264.97</v>
      </c>
    </row>
    <row r="210" spans="1:14" ht="14.5" customHeight="1" x14ac:dyDescent="0.35">
      <c r="A210" t="s">
        <v>177</v>
      </c>
      <c r="B210" t="s">
        <v>178</v>
      </c>
      <c r="C210">
        <v>55</v>
      </c>
      <c r="D210" t="s">
        <v>138</v>
      </c>
      <c r="E210" t="s">
        <v>59</v>
      </c>
      <c r="F210" t="s">
        <v>2518</v>
      </c>
      <c r="G210" t="s">
        <v>102</v>
      </c>
      <c r="H210">
        <v>151.9</v>
      </c>
      <c r="I210">
        <v>50</v>
      </c>
      <c r="K210" t="s">
        <v>20</v>
      </c>
      <c r="L210" t="s">
        <v>26</v>
      </c>
      <c r="M210" t="s">
        <v>179</v>
      </c>
    </row>
    <row r="211" spans="1:14" ht="14.5" customHeight="1" x14ac:dyDescent="0.35">
      <c r="A211" t="s">
        <v>341</v>
      </c>
      <c r="B211" t="s">
        <v>2423</v>
      </c>
      <c r="C211">
        <v>55</v>
      </c>
      <c r="D211" t="s">
        <v>138</v>
      </c>
      <c r="E211" t="s">
        <v>217</v>
      </c>
      <c r="F211" t="s">
        <v>17</v>
      </c>
      <c r="G211" t="s">
        <v>36</v>
      </c>
      <c r="H211">
        <v>162</v>
      </c>
      <c r="I211">
        <v>129</v>
      </c>
      <c r="J211" t="s">
        <v>65</v>
      </c>
      <c r="K211" t="s">
        <v>30</v>
      </c>
      <c r="L211" t="s">
        <v>42</v>
      </c>
      <c r="M211" t="s">
        <v>342</v>
      </c>
      <c r="N211">
        <v>827.63</v>
      </c>
    </row>
    <row r="212" spans="1:14" ht="14.5" customHeight="1" x14ac:dyDescent="0.35">
      <c r="A212" t="s">
        <v>408</v>
      </c>
      <c r="B212" t="s">
        <v>409</v>
      </c>
      <c r="C212">
        <v>55</v>
      </c>
      <c r="D212" t="s">
        <v>138</v>
      </c>
      <c r="E212" t="s">
        <v>45</v>
      </c>
      <c r="F212" t="s">
        <v>273</v>
      </c>
      <c r="G212" t="s">
        <v>208</v>
      </c>
      <c r="H212">
        <v>175.8</v>
      </c>
      <c r="I212">
        <v>108</v>
      </c>
      <c r="J212" t="s">
        <v>19</v>
      </c>
      <c r="L212" t="s">
        <v>69</v>
      </c>
      <c r="M212" t="s">
        <v>410</v>
      </c>
      <c r="N212">
        <v>34829.47</v>
      </c>
    </row>
    <row r="213" spans="1:14" ht="14.5" customHeight="1" x14ac:dyDescent="0.35">
      <c r="A213" t="s">
        <v>534</v>
      </c>
      <c r="B213" t="s">
        <v>2446</v>
      </c>
      <c r="C213">
        <v>55</v>
      </c>
      <c r="D213" t="s">
        <v>138</v>
      </c>
      <c r="E213" t="s">
        <v>130</v>
      </c>
      <c r="F213" t="s">
        <v>17</v>
      </c>
      <c r="G213" t="s">
        <v>36</v>
      </c>
      <c r="H213">
        <v>150</v>
      </c>
      <c r="I213">
        <v>40.799999999999997</v>
      </c>
      <c r="J213" t="s">
        <v>46</v>
      </c>
      <c r="K213" t="s">
        <v>95</v>
      </c>
      <c r="L213" t="s">
        <v>199</v>
      </c>
      <c r="M213" t="s">
        <v>720</v>
      </c>
      <c r="N213">
        <v>25241.72</v>
      </c>
    </row>
    <row r="214" spans="1:14" ht="14.5" customHeight="1" x14ac:dyDescent="0.35">
      <c r="A214" t="s">
        <v>787</v>
      </c>
      <c r="B214" t="s">
        <v>788</v>
      </c>
      <c r="C214">
        <v>55</v>
      </c>
      <c r="D214" t="s">
        <v>138</v>
      </c>
      <c r="E214" t="s">
        <v>130</v>
      </c>
      <c r="F214" t="s">
        <v>79</v>
      </c>
      <c r="G214" t="s">
        <v>112</v>
      </c>
      <c r="H214">
        <v>194.8</v>
      </c>
      <c r="I214">
        <v>96</v>
      </c>
      <c r="J214" t="s">
        <v>65</v>
      </c>
      <c r="K214" t="s">
        <v>62</v>
      </c>
      <c r="L214" t="s">
        <v>96</v>
      </c>
      <c r="M214" t="s">
        <v>789</v>
      </c>
      <c r="N214">
        <v>26011.1</v>
      </c>
    </row>
    <row r="215" spans="1:14" ht="14.5" customHeight="1" x14ac:dyDescent="0.35">
      <c r="A215" t="s">
        <v>1017</v>
      </c>
      <c r="B215" t="s">
        <v>163</v>
      </c>
      <c r="C215">
        <v>55</v>
      </c>
      <c r="D215" t="s">
        <v>138</v>
      </c>
      <c r="E215" t="s">
        <v>45</v>
      </c>
      <c r="F215" t="s">
        <v>36</v>
      </c>
      <c r="G215" t="s">
        <v>191</v>
      </c>
      <c r="H215">
        <v>176</v>
      </c>
      <c r="I215">
        <v>76</v>
      </c>
      <c r="J215" t="s">
        <v>65</v>
      </c>
      <c r="K215" t="s">
        <v>95</v>
      </c>
      <c r="L215" t="s">
        <v>103</v>
      </c>
      <c r="M215" t="s">
        <v>1018</v>
      </c>
      <c r="N215">
        <v>29732.58</v>
      </c>
    </row>
    <row r="216" spans="1:14" ht="14.5" customHeight="1" x14ac:dyDescent="0.35">
      <c r="A216" t="s">
        <v>1027</v>
      </c>
      <c r="B216" t="s">
        <v>1028</v>
      </c>
      <c r="C216">
        <v>55</v>
      </c>
      <c r="D216" t="s">
        <v>29</v>
      </c>
      <c r="E216" t="s">
        <v>130</v>
      </c>
      <c r="F216" t="s">
        <v>141</v>
      </c>
      <c r="G216" t="s">
        <v>124</v>
      </c>
      <c r="H216">
        <v>191.3</v>
      </c>
      <c r="I216">
        <v>125</v>
      </c>
      <c r="J216" t="s">
        <v>61</v>
      </c>
      <c r="K216" t="s">
        <v>65</v>
      </c>
      <c r="L216" t="s">
        <v>31</v>
      </c>
      <c r="M216" t="s">
        <v>601</v>
      </c>
      <c r="N216">
        <v>43950.11</v>
      </c>
    </row>
    <row r="217" spans="1:14" ht="14.5" customHeight="1" x14ac:dyDescent="0.35">
      <c r="A217" t="s">
        <v>1270</v>
      </c>
      <c r="B217" t="s">
        <v>1271</v>
      </c>
      <c r="C217">
        <v>54</v>
      </c>
      <c r="D217" t="s">
        <v>29</v>
      </c>
      <c r="E217" t="s">
        <v>89</v>
      </c>
      <c r="F217" t="s">
        <v>2518</v>
      </c>
      <c r="G217" t="s">
        <v>80</v>
      </c>
      <c r="H217">
        <v>160</v>
      </c>
      <c r="I217">
        <v>68</v>
      </c>
      <c r="J217" t="s">
        <v>95</v>
      </c>
      <c r="K217" t="s">
        <v>142</v>
      </c>
      <c r="L217" t="s">
        <v>48</v>
      </c>
      <c r="M217" t="s">
        <v>1272</v>
      </c>
      <c r="N217">
        <v>31897.57</v>
      </c>
    </row>
    <row r="218" spans="1:14" ht="14.5" customHeight="1" x14ac:dyDescent="0.35">
      <c r="A218" t="s">
        <v>758</v>
      </c>
      <c r="B218" t="s">
        <v>759</v>
      </c>
      <c r="C218">
        <v>53</v>
      </c>
      <c r="D218" t="s">
        <v>138</v>
      </c>
      <c r="E218" t="s">
        <v>130</v>
      </c>
      <c r="F218" t="s">
        <v>17</v>
      </c>
      <c r="G218" t="s">
        <v>198</v>
      </c>
      <c r="H218">
        <v>160.80000000000001</v>
      </c>
      <c r="I218">
        <v>103</v>
      </c>
      <c r="J218" t="s">
        <v>65</v>
      </c>
      <c r="K218" t="s">
        <v>46</v>
      </c>
      <c r="L218" t="s">
        <v>31</v>
      </c>
      <c r="M218" t="s">
        <v>760</v>
      </c>
      <c r="N218">
        <v>14538.77</v>
      </c>
    </row>
    <row r="219" spans="1:14" ht="14.5" customHeight="1" x14ac:dyDescent="0.35">
      <c r="A219" t="s">
        <v>1105</v>
      </c>
      <c r="B219" t="s">
        <v>1106</v>
      </c>
      <c r="C219">
        <v>53</v>
      </c>
      <c r="D219" t="s">
        <v>138</v>
      </c>
      <c r="E219" t="s">
        <v>24</v>
      </c>
      <c r="F219" t="s">
        <v>134</v>
      </c>
      <c r="G219" t="s">
        <v>35</v>
      </c>
      <c r="H219">
        <v>148.9</v>
      </c>
      <c r="I219">
        <v>64.900000000000006</v>
      </c>
      <c r="J219" t="s">
        <v>19</v>
      </c>
      <c r="K219" t="s">
        <v>30</v>
      </c>
      <c r="L219" t="s">
        <v>226</v>
      </c>
      <c r="M219" t="s">
        <v>1107</v>
      </c>
      <c r="N219">
        <v>33803.83</v>
      </c>
    </row>
    <row r="220" spans="1:14" ht="14.5" customHeight="1" x14ac:dyDescent="0.35">
      <c r="A220" t="s">
        <v>1465</v>
      </c>
      <c r="B220" t="s">
        <v>1466</v>
      </c>
      <c r="C220">
        <v>53</v>
      </c>
      <c r="D220" t="s">
        <v>138</v>
      </c>
      <c r="E220" t="s">
        <v>45</v>
      </c>
      <c r="F220" t="s">
        <v>17</v>
      </c>
      <c r="G220" t="s">
        <v>18</v>
      </c>
      <c r="H220">
        <v>190.7</v>
      </c>
      <c r="I220">
        <v>80.400000000000006</v>
      </c>
      <c r="J220" t="s">
        <v>20</v>
      </c>
      <c r="K220" t="s">
        <v>30</v>
      </c>
      <c r="L220" t="s">
        <v>199</v>
      </c>
      <c r="M220" t="s">
        <v>1467</v>
      </c>
      <c r="N220">
        <v>12624.72</v>
      </c>
    </row>
    <row r="221" spans="1:14" ht="14.5" customHeight="1" x14ac:dyDescent="0.35">
      <c r="A221" t="s">
        <v>165</v>
      </c>
      <c r="B221" t="s">
        <v>166</v>
      </c>
      <c r="C221">
        <v>52</v>
      </c>
      <c r="D221" t="s">
        <v>29</v>
      </c>
      <c r="E221" t="s">
        <v>130</v>
      </c>
      <c r="F221" t="s">
        <v>17</v>
      </c>
      <c r="G221" t="s">
        <v>160</v>
      </c>
      <c r="H221">
        <v>158.80000000000001</v>
      </c>
      <c r="I221">
        <v>80</v>
      </c>
      <c r="J221" t="s">
        <v>65</v>
      </c>
      <c r="K221" t="s">
        <v>19</v>
      </c>
      <c r="L221" t="s">
        <v>107</v>
      </c>
      <c r="M221" t="s">
        <v>167</v>
      </c>
      <c r="N221">
        <v>21197.67</v>
      </c>
    </row>
    <row r="222" spans="1:14" ht="14.5" customHeight="1" x14ac:dyDescent="0.35">
      <c r="A222" t="s">
        <v>282</v>
      </c>
      <c r="B222" t="s">
        <v>283</v>
      </c>
      <c r="C222">
        <v>52</v>
      </c>
      <c r="D222" t="s">
        <v>29</v>
      </c>
      <c r="E222" t="s">
        <v>78</v>
      </c>
      <c r="F222" t="s">
        <v>36</v>
      </c>
      <c r="G222" t="s">
        <v>60</v>
      </c>
      <c r="H222">
        <v>1.65</v>
      </c>
      <c r="I222">
        <v>106.1</v>
      </c>
      <c r="J222" t="s">
        <v>19</v>
      </c>
      <c r="K222" t="s">
        <v>65</v>
      </c>
      <c r="L222" t="s">
        <v>226</v>
      </c>
      <c r="M222" t="s">
        <v>284</v>
      </c>
      <c r="N222">
        <v>41160.35</v>
      </c>
    </row>
    <row r="223" spans="1:14" ht="14.5" customHeight="1" x14ac:dyDescent="0.35">
      <c r="A223" t="s">
        <v>299</v>
      </c>
      <c r="B223" t="s">
        <v>300</v>
      </c>
      <c r="C223">
        <v>52</v>
      </c>
      <c r="D223" t="s">
        <v>29</v>
      </c>
      <c r="E223" t="s">
        <v>24</v>
      </c>
      <c r="F223" t="s">
        <v>17</v>
      </c>
      <c r="G223" t="s">
        <v>35</v>
      </c>
      <c r="H223">
        <v>184</v>
      </c>
      <c r="I223">
        <v>52.8</v>
      </c>
      <c r="J223" t="s">
        <v>20</v>
      </c>
      <c r="L223" t="s">
        <v>96</v>
      </c>
      <c r="M223" t="s">
        <v>301</v>
      </c>
      <c r="N223">
        <v>48777.81</v>
      </c>
    </row>
    <row r="224" spans="1:14" ht="14.5" customHeight="1" x14ac:dyDescent="0.35">
      <c r="A224" t="s">
        <v>443</v>
      </c>
      <c r="B224" t="s">
        <v>444</v>
      </c>
      <c r="C224">
        <v>52</v>
      </c>
      <c r="D224" t="s">
        <v>138</v>
      </c>
      <c r="E224" t="s">
        <v>78</v>
      </c>
      <c r="F224" t="s">
        <v>273</v>
      </c>
      <c r="G224" t="s">
        <v>191</v>
      </c>
      <c r="H224">
        <v>171.5</v>
      </c>
      <c r="I224">
        <v>72.599999999999994</v>
      </c>
      <c r="K224" t="s">
        <v>62</v>
      </c>
      <c r="L224" t="s">
        <v>42</v>
      </c>
      <c r="M224" t="s">
        <v>445</v>
      </c>
      <c r="N224">
        <v>13719.28</v>
      </c>
    </row>
    <row r="225" spans="1:14" ht="14.5" customHeight="1" x14ac:dyDescent="0.35">
      <c r="A225" t="s">
        <v>489</v>
      </c>
      <c r="B225" t="s">
        <v>490</v>
      </c>
      <c r="C225">
        <v>52</v>
      </c>
      <c r="D225" t="s">
        <v>138</v>
      </c>
      <c r="E225" t="s">
        <v>115</v>
      </c>
      <c r="F225" t="s">
        <v>17</v>
      </c>
      <c r="G225" t="s">
        <v>417</v>
      </c>
      <c r="H225">
        <v>188</v>
      </c>
      <c r="I225">
        <v>54</v>
      </c>
      <c r="J225" t="s">
        <v>95</v>
      </c>
      <c r="K225" t="s">
        <v>47</v>
      </c>
      <c r="L225" t="s">
        <v>96</v>
      </c>
      <c r="M225" t="s">
        <v>491</v>
      </c>
      <c r="N225">
        <v>45962.86</v>
      </c>
    </row>
    <row r="226" spans="1:14" ht="14.5" customHeight="1" x14ac:dyDescent="0.35">
      <c r="A226" t="s">
        <v>531</v>
      </c>
      <c r="B226" t="s">
        <v>532</v>
      </c>
      <c r="C226">
        <v>52</v>
      </c>
      <c r="D226" t="s">
        <v>138</v>
      </c>
      <c r="E226" t="s">
        <v>24</v>
      </c>
      <c r="F226" t="s">
        <v>2518</v>
      </c>
      <c r="G226" t="s">
        <v>90</v>
      </c>
      <c r="H226">
        <v>160.5</v>
      </c>
      <c r="I226">
        <v>84.2</v>
      </c>
      <c r="K226" t="s">
        <v>85</v>
      </c>
      <c r="L226" t="s">
        <v>86</v>
      </c>
      <c r="M226" t="s">
        <v>533</v>
      </c>
      <c r="N226">
        <v>33443.25</v>
      </c>
    </row>
    <row r="227" spans="1:14" ht="14.5" customHeight="1" x14ac:dyDescent="0.35">
      <c r="A227" t="s">
        <v>677</v>
      </c>
      <c r="B227" t="s">
        <v>678</v>
      </c>
      <c r="C227">
        <v>52</v>
      </c>
      <c r="D227" t="s">
        <v>52</v>
      </c>
      <c r="E227" t="s">
        <v>53</v>
      </c>
      <c r="F227" t="s">
        <v>2518</v>
      </c>
      <c r="G227" t="s">
        <v>90</v>
      </c>
      <c r="H227">
        <v>174</v>
      </c>
      <c r="I227">
        <v>93</v>
      </c>
      <c r="J227" t="s">
        <v>61</v>
      </c>
      <c r="K227" t="s">
        <v>62</v>
      </c>
      <c r="L227" t="s">
        <v>175</v>
      </c>
      <c r="M227" t="s">
        <v>679</v>
      </c>
      <c r="N227">
        <v>15518.8</v>
      </c>
    </row>
    <row r="228" spans="1:14" ht="14.5" customHeight="1" x14ac:dyDescent="0.35">
      <c r="A228" t="s">
        <v>1076</v>
      </c>
      <c r="B228" t="s">
        <v>1077</v>
      </c>
      <c r="C228">
        <v>52</v>
      </c>
      <c r="D228" t="s">
        <v>29</v>
      </c>
      <c r="E228" t="s">
        <v>230</v>
      </c>
      <c r="F228" t="s">
        <v>273</v>
      </c>
      <c r="G228" t="s">
        <v>36</v>
      </c>
      <c r="H228">
        <v>150.5</v>
      </c>
      <c r="I228">
        <v>112</v>
      </c>
      <c r="J228" t="s">
        <v>95</v>
      </c>
      <c r="L228" t="s">
        <v>55</v>
      </c>
      <c r="M228" t="s">
        <v>1078</v>
      </c>
      <c r="N228">
        <v>5633.8</v>
      </c>
    </row>
    <row r="229" spans="1:14" ht="14.5" customHeight="1" x14ac:dyDescent="0.35">
      <c r="A229" t="s">
        <v>1287</v>
      </c>
      <c r="B229" t="s">
        <v>1288</v>
      </c>
      <c r="C229">
        <v>52</v>
      </c>
      <c r="D229" t="s">
        <v>52</v>
      </c>
      <c r="E229" t="s">
        <v>111</v>
      </c>
      <c r="F229" t="s">
        <v>2518</v>
      </c>
      <c r="G229" t="s">
        <v>208</v>
      </c>
      <c r="H229">
        <v>148</v>
      </c>
      <c r="I229">
        <v>71</v>
      </c>
      <c r="K229" t="s">
        <v>20</v>
      </c>
      <c r="L229" t="s">
        <v>69</v>
      </c>
      <c r="M229" t="s">
        <v>1289</v>
      </c>
      <c r="N229">
        <v>48833.71</v>
      </c>
    </row>
    <row r="230" spans="1:14" ht="14.5" customHeight="1" x14ac:dyDescent="0.35">
      <c r="A230" t="s">
        <v>339</v>
      </c>
      <c r="B230" t="s">
        <v>2422</v>
      </c>
      <c r="C230">
        <v>51</v>
      </c>
      <c r="D230" t="s">
        <v>138</v>
      </c>
      <c r="E230" t="s">
        <v>130</v>
      </c>
      <c r="F230" t="s">
        <v>273</v>
      </c>
      <c r="G230" t="s">
        <v>36</v>
      </c>
      <c r="H230">
        <v>147</v>
      </c>
      <c r="I230">
        <v>42</v>
      </c>
      <c r="K230" t="s">
        <v>30</v>
      </c>
      <c r="L230" t="s">
        <v>21</v>
      </c>
      <c r="M230" t="s">
        <v>340</v>
      </c>
      <c r="N230">
        <v>35525.01</v>
      </c>
    </row>
    <row r="231" spans="1:14" ht="14.5" customHeight="1" x14ac:dyDescent="0.35">
      <c r="A231" t="s">
        <v>433</v>
      </c>
      <c r="B231" t="s">
        <v>434</v>
      </c>
      <c r="C231">
        <v>51</v>
      </c>
      <c r="D231" t="s">
        <v>29</v>
      </c>
      <c r="E231" t="s">
        <v>111</v>
      </c>
      <c r="F231" t="s">
        <v>141</v>
      </c>
      <c r="G231" t="s">
        <v>280</v>
      </c>
      <c r="H231">
        <v>186.2</v>
      </c>
      <c r="J231" t="s">
        <v>20</v>
      </c>
      <c r="K231" t="s">
        <v>20</v>
      </c>
      <c r="L231" t="s">
        <v>199</v>
      </c>
      <c r="M231" t="s">
        <v>435</v>
      </c>
      <c r="N231">
        <v>38690.39</v>
      </c>
    </row>
    <row r="232" spans="1:14" ht="14.5" customHeight="1" x14ac:dyDescent="0.35">
      <c r="A232" t="s">
        <v>436</v>
      </c>
      <c r="B232" t="s">
        <v>2429</v>
      </c>
      <c r="C232">
        <v>51</v>
      </c>
      <c r="D232" t="s">
        <v>29</v>
      </c>
      <c r="E232" t="s">
        <v>45</v>
      </c>
      <c r="F232" t="s">
        <v>36</v>
      </c>
      <c r="G232" t="s">
        <v>25</v>
      </c>
      <c r="H232">
        <v>164</v>
      </c>
      <c r="I232">
        <v>80.5</v>
      </c>
      <c r="J232" t="s">
        <v>46</v>
      </c>
      <c r="K232" t="s">
        <v>95</v>
      </c>
      <c r="L232" t="s">
        <v>226</v>
      </c>
      <c r="M232" t="s">
        <v>437</v>
      </c>
      <c r="N232">
        <v>37477.949999999997</v>
      </c>
    </row>
    <row r="233" spans="1:14" ht="14.5" customHeight="1" x14ac:dyDescent="0.35">
      <c r="A233" t="s">
        <v>463</v>
      </c>
      <c r="B233" t="s">
        <v>2432</v>
      </c>
      <c r="C233">
        <v>51</v>
      </c>
      <c r="D233" t="s">
        <v>29</v>
      </c>
      <c r="E233" t="s">
        <v>119</v>
      </c>
      <c r="F233" t="s">
        <v>2518</v>
      </c>
      <c r="G233" t="s">
        <v>80</v>
      </c>
      <c r="H233">
        <v>173</v>
      </c>
      <c r="I233">
        <v>127</v>
      </c>
      <c r="K233" t="s">
        <v>142</v>
      </c>
      <c r="L233" t="s">
        <v>21</v>
      </c>
      <c r="M233" t="s">
        <v>464</v>
      </c>
      <c r="N233">
        <v>5436.63</v>
      </c>
    </row>
    <row r="234" spans="1:14" ht="14.5" customHeight="1" x14ac:dyDescent="0.35">
      <c r="A234" t="s">
        <v>626</v>
      </c>
      <c r="B234" t="s">
        <v>627</v>
      </c>
      <c r="C234">
        <v>51</v>
      </c>
      <c r="D234" t="s">
        <v>138</v>
      </c>
      <c r="E234" t="s">
        <v>146</v>
      </c>
      <c r="F234" t="s">
        <v>273</v>
      </c>
      <c r="G234" t="s">
        <v>160</v>
      </c>
      <c r="H234">
        <v>175.3</v>
      </c>
      <c r="I234">
        <v>116.5</v>
      </c>
      <c r="K234" t="s">
        <v>95</v>
      </c>
      <c r="L234" t="s">
        <v>107</v>
      </c>
      <c r="M234" t="s">
        <v>628</v>
      </c>
      <c r="N234">
        <v>27899.45</v>
      </c>
    </row>
    <row r="235" spans="1:14" ht="14.5" customHeight="1" x14ac:dyDescent="0.35">
      <c r="A235" t="s">
        <v>680</v>
      </c>
      <c r="B235" t="s">
        <v>2443</v>
      </c>
      <c r="C235">
        <v>51</v>
      </c>
      <c r="D235" t="s">
        <v>29</v>
      </c>
      <c r="E235" t="s">
        <v>89</v>
      </c>
      <c r="F235" t="s">
        <v>79</v>
      </c>
      <c r="G235" t="s">
        <v>295</v>
      </c>
      <c r="H235">
        <v>185</v>
      </c>
      <c r="I235">
        <v>91.6</v>
      </c>
      <c r="J235" t="s">
        <v>85</v>
      </c>
      <c r="K235" t="s">
        <v>30</v>
      </c>
      <c r="L235" t="s">
        <v>48</v>
      </c>
      <c r="M235" t="s">
        <v>681</v>
      </c>
      <c r="N235">
        <v>7022.72</v>
      </c>
    </row>
    <row r="236" spans="1:14" ht="14.5" customHeight="1" x14ac:dyDescent="0.35">
      <c r="A236" t="s">
        <v>873</v>
      </c>
      <c r="B236" t="s">
        <v>874</v>
      </c>
      <c r="C236">
        <v>51</v>
      </c>
      <c r="D236" t="s">
        <v>138</v>
      </c>
      <c r="E236" t="s">
        <v>146</v>
      </c>
      <c r="F236" t="s">
        <v>2518</v>
      </c>
      <c r="G236" t="s">
        <v>60</v>
      </c>
      <c r="H236">
        <v>160</v>
      </c>
      <c r="I236">
        <v>115</v>
      </c>
      <c r="L236" t="s">
        <v>42</v>
      </c>
      <c r="M236" t="s">
        <v>875</v>
      </c>
      <c r="N236">
        <v>20561.28</v>
      </c>
    </row>
    <row r="237" spans="1:14" ht="14.5" customHeight="1" x14ac:dyDescent="0.35">
      <c r="A237" t="s">
        <v>1152</v>
      </c>
      <c r="B237" t="s">
        <v>1153</v>
      </c>
      <c r="C237">
        <v>51</v>
      </c>
      <c r="D237" t="s">
        <v>29</v>
      </c>
      <c r="E237" t="s">
        <v>217</v>
      </c>
      <c r="F237" t="s">
        <v>2518</v>
      </c>
      <c r="G237" t="s">
        <v>102</v>
      </c>
      <c r="H237">
        <v>169</v>
      </c>
      <c r="I237">
        <v>107</v>
      </c>
      <c r="J237" t="s">
        <v>85</v>
      </c>
      <c r="K237" t="s">
        <v>62</v>
      </c>
      <c r="L237" t="s">
        <v>69</v>
      </c>
      <c r="M237" t="s">
        <v>1154</v>
      </c>
      <c r="N237">
        <v>7702.93</v>
      </c>
    </row>
    <row r="238" spans="1:14" ht="14.5" customHeight="1" x14ac:dyDescent="0.35">
      <c r="A238" t="s">
        <v>1206</v>
      </c>
      <c r="B238" t="s">
        <v>1207</v>
      </c>
      <c r="C238">
        <v>51</v>
      </c>
      <c r="D238" t="s">
        <v>138</v>
      </c>
      <c r="E238" t="s">
        <v>89</v>
      </c>
      <c r="F238" t="s">
        <v>36</v>
      </c>
      <c r="G238" t="s">
        <v>36</v>
      </c>
      <c r="H238">
        <v>1.72</v>
      </c>
      <c r="I238">
        <v>42.6</v>
      </c>
      <c r="J238" t="s">
        <v>61</v>
      </c>
      <c r="K238" t="s">
        <v>20</v>
      </c>
      <c r="L238" t="s">
        <v>86</v>
      </c>
      <c r="M238" t="s">
        <v>1208</v>
      </c>
      <c r="N238">
        <v>28331.74</v>
      </c>
    </row>
    <row r="239" spans="1:14" ht="14.5" customHeight="1" x14ac:dyDescent="0.35">
      <c r="A239" t="s">
        <v>873</v>
      </c>
      <c r="B239" t="s">
        <v>874</v>
      </c>
      <c r="C239">
        <v>51</v>
      </c>
      <c r="D239" t="s">
        <v>138</v>
      </c>
      <c r="E239" t="s">
        <v>146</v>
      </c>
      <c r="F239" t="s">
        <v>2518</v>
      </c>
      <c r="G239" t="s">
        <v>60</v>
      </c>
      <c r="H239">
        <v>160</v>
      </c>
      <c r="I239">
        <v>115</v>
      </c>
      <c r="L239" t="s">
        <v>42</v>
      </c>
      <c r="M239" t="s">
        <v>875</v>
      </c>
      <c r="N239">
        <v>20561.28</v>
      </c>
    </row>
    <row r="240" spans="1:14" ht="14.5" customHeight="1" x14ac:dyDescent="0.35">
      <c r="A240" t="s">
        <v>1260</v>
      </c>
      <c r="B240" t="s">
        <v>72</v>
      </c>
      <c r="C240">
        <v>51</v>
      </c>
      <c r="D240" t="s">
        <v>138</v>
      </c>
      <c r="E240" t="s">
        <v>84</v>
      </c>
      <c r="F240" t="s">
        <v>17</v>
      </c>
      <c r="G240" t="s">
        <v>80</v>
      </c>
      <c r="H240">
        <v>191</v>
      </c>
      <c r="I240">
        <v>100.6</v>
      </c>
      <c r="J240" t="s">
        <v>36</v>
      </c>
      <c r="K240" t="s">
        <v>47</v>
      </c>
      <c r="L240" t="s">
        <v>199</v>
      </c>
      <c r="M240" t="s">
        <v>1261</v>
      </c>
      <c r="N240">
        <v>33904.410000000003</v>
      </c>
    </row>
    <row r="241" spans="1:14" ht="14.5" customHeight="1" x14ac:dyDescent="0.35">
      <c r="A241" t="s">
        <v>337</v>
      </c>
      <c r="B241" t="s">
        <v>197</v>
      </c>
      <c r="C241">
        <v>50</v>
      </c>
      <c r="D241" t="s">
        <v>29</v>
      </c>
      <c r="E241" t="s">
        <v>115</v>
      </c>
      <c r="F241" t="s">
        <v>273</v>
      </c>
      <c r="G241" t="s">
        <v>35</v>
      </c>
      <c r="H241">
        <v>175.5</v>
      </c>
      <c r="J241" t="s">
        <v>46</v>
      </c>
      <c r="K241" t="s">
        <v>85</v>
      </c>
      <c r="L241" t="s">
        <v>42</v>
      </c>
      <c r="M241" t="s">
        <v>338</v>
      </c>
      <c r="N241">
        <v>27141.919999999998</v>
      </c>
    </row>
    <row r="242" spans="1:14" ht="14.5" customHeight="1" x14ac:dyDescent="0.35">
      <c r="A242" t="s">
        <v>449</v>
      </c>
      <c r="B242" t="s">
        <v>450</v>
      </c>
      <c r="C242">
        <v>50</v>
      </c>
      <c r="D242" t="s">
        <v>138</v>
      </c>
      <c r="E242" t="s">
        <v>146</v>
      </c>
      <c r="F242" t="s">
        <v>2518</v>
      </c>
      <c r="G242" t="s">
        <v>295</v>
      </c>
      <c r="H242">
        <v>166</v>
      </c>
      <c r="I242">
        <v>88.1</v>
      </c>
      <c r="J242" t="s">
        <v>36</v>
      </c>
      <c r="K242" t="s">
        <v>30</v>
      </c>
      <c r="L242" t="s">
        <v>143</v>
      </c>
      <c r="M242" t="s">
        <v>451</v>
      </c>
      <c r="N242">
        <v>32316.11</v>
      </c>
    </row>
    <row r="243" spans="1:14" ht="14.5" customHeight="1" x14ac:dyDescent="0.35">
      <c r="A243" t="s">
        <v>793</v>
      </c>
      <c r="B243" t="s">
        <v>2454</v>
      </c>
      <c r="C243">
        <v>50</v>
      </c>
      <c r="D243" t="s">
        <v>138</v>
      </c>
      <c r="E243" t="s">
        <v>119</v>
      </c>
      <c r="F243" t="s">
        <v>17</v>
      </c>
      <c r="G243" t="s">
        <v>35</v>
      </c>
      <c r="H243">
        <v>0</v>
      </c>
      <c r="I243">
        <v>110.9</v>
      </c>
      <c r="J243" t="s">
        <v>19</v>
      </c>
      <c r="K243" t="s">
        <v>85</v>
      </c>
      <c r="L243" t="s">
        <v>55</v>
      </c>
      <c r="M243" t="s">
        <v>794</v>
      </c>
      <c r="N243">
        <v>29206.21</v>
      </c>
    </row>
    <row r="244" spans="1:14" ht="14.5" customHeight="1" x14ac:dyDescent="0.35">
      <c r="A244" t="s">
        <v>1085</v>
      </c>
      <c r="B244" t="s">
        <v>2478</v>
      </c>
      <c r="C244">
        <v>50</v>
      </c>
      <c r="D244" t="s">
        <v>29</v>
      </c>
      <c r="E244" t="s">
        <v>130</v>
      </c>
      <c r="F244" t="s">
        <v>2517</v>
      </c>
      <c r="G244" t="s">
        <v>295</v>
      </c>
      <c r="H244">
        <v>190.9</v>
      </c>
      <c r="I244">
        <v>55</v>
      </c>
      <c r="K244" t="s">
        <v>46</v>
      </c>
      <c r="L244" t="s">
        <v>199</v>
      </c>
      <c r="M244" t="s">
        <v>1086</v>
      </c>
      <c r="N244">
        <v>23626.080000000002</v>
      </c>
    </row>
    <row r="245" spans="1:14" ht="14.5" customHeight="1" x14ac:dyDescent="0.35">
      <c r="A245" t="s">
        <v>1136</v>
      </c>
      <c r="B245" t="s">
        <v>1137</v>
      </c>
      <c r="C245">
        <v>50</v>
      </c>
      <c r="D245" t="s">
        <v>138</v>
      </c>
      <c r="E245" t="s">
        <v>130</v>
      </c>
      <c r="F245" t="s">
        <v>120</v>
      </c>
      <c r="G245" t="s">
        <v>60</v>
      </c>
      <c r="H245">
        <v>184</v>
      </c>
      <c r="I245">
        <v>64.2</v>
      </c>
      <c r="J245" t="s">
        <v>19</v>
      </c>
      <c r="K245" t="s">
        <v>19</v>
      </c>
      <c r="L245" t="s">
        <v>96</v>
      </c>
      <c r="M245" t="s">
        <v>1138</v>
      </c>
      <c r="N245">
        <v>18744.64</v>
      </c>
    </row>
    <row r="246" spans="1:14" ht="14.5" customHeight="1" x14ac:dyDescent="0.35">
      <c r="A246" t="s">
        <v>1168</v>
      </c>
      <c r="B246" t="s">
        <v>1192</v>
      </c>
      <c r="C246">
        <v>50</v>
      </c>
      <c r="D246" t="s">
        <v>29</v>
      </c>
      <c r="E246" t="s">
        <v>53</v>
      </c>
      <c r="F246" t="s">
        <v>2517</v>
      </c>
      <c r="G246" t="s">
        <v>295</v>
      </c>
      <c r="H246">
        <v>178.9</v>
      </c>
      <c r="I246">
        <v>123</v>
      </c>
      <c r="J246" t="s">
        <v>65</v>
      </c>
      <c r="L246" t="s">
        <v>48</v>
      </c>
      <c r="M246" t="s">
        <v>1169</v>
      </c>
      <c r="N246">
        <v>38433.699999999997</v>
      </c>
    </row>
    <row r="247" spans="1:14" ht="14.5" customHeight="1" x14ac:dyDescent="0.35">
      <c r="A247" t="s">
        <v>219</v>
      </c>
      <c r="B247" t="s">
        <v>220</v>
      </c>
      <c r="C247">
        <v>49</v>
      </c>
      <c r="D247" t="s">
        <v>138</v>
      </c>
      <c r="E247" t="s">
        <v>24</v>
      </c>
      <c r="F247" t="s">
        <v>2518</v>
      </c>
      <c r="G247" t="s">
        <v>25</v>
      </c>
      <c r="H247">
        <v>155</v>
      </c>
      <c r="I247">
        <v>-10</v>
      </c>
      <c r="J247" t="s">
        <v>94</v>
      </c>
      <c r="L247" t="s">
        <v>86</v>
      </c>
      <c r="M247" t="s">
        <v>221</v>
      </c>
      <c r="N247">
        <v>49426.49</v>
      </c>
    </row>
    <row r="248" spans="1:14" ht="14.5" customHeight="1" x14ac:dyDescent="0.35">
      <c r="A248" t="s">
        <v>405</v>
      </c>
      <c r="B248" t="s">
        <v>406</v>
      </c>
      <c r="C248">
        <v>49</v>
      </c>
      <c r="D248" t="s">
        <v>29</v>
      </c>
      <c r="E248" t="s">
        <v>89</v>
      </c>
      <c r="F248" t="s">
        <v>120</v>
      </c>
      <c r="G248" t="s">
        <v>208</v>
      </c>
      <c r="H248">
        <v>174</v>
      </c>
      <c r="I248">
        <v>107.8</v>
      </c>
      <c r="K248" t="s">
        <v>62</v>
      </c>
      <c r="L248" t="s">
        <v>143</v>
      </c>
      <c r="M248" t="s">
        <v>407</v>
      </c>
      <c r="N248">
        <v>26615.65</v>
      </c>
    </row>
    <row r="249" spans="1:14" ht="14.5" customHeight="1" x14ac:dyDescent="0.35">
      <c r="A249" t="s">
        <v>619</v>
      </c>
      <c r="B249" t="s">
        <v>1053</v>
      </c>
      <c r="C249">
        <v>49</v>
      </c>
      <c r="D249" t="s">
        <v>29</v>
      </c>
      <c r="E249" t="s">
        <v>73</v>
      </c>
      <c r="F249" t="s">
        <v>2518</v>
      </c>
      <c r="G249" t="s">
        <v>60</v>
      </c>
      <c r="H249">
        <v>185</v>
      </c>
      <c r="I249">
        <v>125</v>
      </c>
      <c r="J249" t="s">
        <v>61</v>
      </c>
      <c r="K249" t="s">
        <v>20</v>
      </c>
      <c r="L249" t="s">
        <v>26</v>
      </c>
      <c r="M249" t="s">
        <v>620</v>
      </c>
      <c r="N249">
        <v>34991.75</v>
      </c>
    </row>
    <row r="250" spans="1:14" ht="14.5" customHeight="1" x14ac:dyDescent="0.35">
      <c r="A250" t="s">
        <v>699</v>
      </c>
      <c r="B250" t="s">
        <v>2444</v>
      </c>
      <c r="C250">
        <v>49</v>
      </c>
      <c r="D250" t="s">
        <v>29</v>
      </c>
      <c r="E250" t="s">
        <v>130</v>
      </c>
      <c r="F250" t="s">
        <v>36</v>
      </c>
      <c r="G250" t="s">
        <v>417</v>
      </c>
      <c r="H250">
        <v>185</v>
      </c>
      <c r="I250">
        <v>71</v>
      </c>
      <c r="K250" t="s">
        <v>19</v>
      </c>
      <c r="L250" t="s">
        <v>42</v>
      </c>
      <c r="M250" t="s">
        <v>700</v>
      </c>
    </row>
    <row r="251" spans="1:14" ht="14.5" customHeight="1" x14ac:dyDescent="0.35">
      <c r="A251" t="s">
        <v>879</v>
      </c>
      <c r="B251" t="s">
        <v>880</v>
      </c>
      <c r="C251">
        <v>49</v>
      </c>
      <c r="D251" t="s">
        <v>138</v>
      </c>
      <c r="E251" t="s">
        <v>45</v>
      </c>
      <c r="F251" t="s">
        <v>79</v>
      </c>
      <c r="G251" t="s">
        <v>18</v>
      </c>
      <c r="H251">
        <v>192</v>
      </c>
      <c r="I251">
        <v>80.599999999999994</v>
      </c>
      <c r="J251" t="s">
        <v>65</v>
      </c>
      <c r="K251" t="s">
        <v>95</v>
      </c>
      <c r="L251" t="s">
        <v>26</v>
      </c>
      <c r="M251" t="s">
        <v>881</v>
      </c>
      <c r="N251">
        <v>-41410.5</v>
      </c>
    </row>
    <row r="252" spans="1:14" ht="14.5" customHeight="1" x14ac:dyDescent="0.35">
      <c r="A252" t="s">
        <v>1292</v>
      </c>
      <c r="B252" t="s">
        <v>1293</v>
      </c>
      <c r="C252">
        <v>49</v>
      </c>
      <c r="D252" t="s">
        <v>138</v>
      </c>
      <c r="E252" t="s">
        <v>89</v>
      </c>
      <c r="F252" t="s">
        <v>17</v>
      </c>
      <c r="G252" t="s">
        <v>160</v>
      </c>
      <c r="H252">
        <v>152</v>
      </c>
      <c r="I252">
        <v>120.4</v>
      </c>
      <c r="J252" t="s">
        <v>94</v>
      </c>
      <c r="K252" t="s">
        <v>85</v>
      </c>
      <c r="L252" t="s">
        <v>107</v>
      </c>
      <c r="M252" t="s">
        <v>1294</v>
      </c>
      <c r="N252">
        <v>5399.25</v>
      </c>
    </row>
    <row r="253" spans="1:14" ht="14.5" customHeight="1" x14ac:dyDescent="0.35">
      <c r="A253" t="s">
        <v>1480</v>
      </c>
      <c r="B253" t="s">
        <v>1481</v>
      </c>
      <c r="C253">
        <v>49</v>
      </c>
      <c r="D253" t="s">
        <v>29</v>
      </c>
      <c r="E253" t="s">
        <v>217</v>
      </c>
      <c r="F253" t="s">
        <v>79</v>
      </c>
      <c r="G253" t="s">
        <v>112</v>
      </c>
      <c r="H253">
        <v>173</v>
      </c>
      <c r="I253">
        <v>103</v>
      </c>
      <c r="J253" t="s">
        <v>41</v>
      </c>
      <c r="K253" t="s">
        <v>19</v>
      </c>
      <c r="L253" t="s">
        <v>31</v>
      </c>
      <c r="M253" t="s">
        <v>1482</v>
      </c>
      <c r="N253">
        <v>38253.67</v>
      </c>
    </row>
    <row r="254" spans="1:14" ht="14.5" customHeight="1" x14ac:dyDescent="0.35">
      <c r="A254" t="s">
        <v>105</v>
      </c>
      <c r="B254" t="s">
        <v>106</v>
      </c>
      <c r="C254">
        <v>48</v>
      </c>
      <c r="D254" t="s">
        <v>29</v>
      </c>
      <c r="E254" t="s">
        <v>111</v>
      </c>
      <c r="F254" t="s">
        <v>17</v>
      </c>
      <c r="G254" t="s">
        <v>36</v>
      </c>
      <c r="H254">
        <v>152</v>
      </c>
      <c r="I254">
        <v>108</v>
      </c>
      <c r="K254" t="s">
        <v>65</v>
      </c>
      <c r="L254" t="s">
        <v>107</v>
      </c>
      <c r="M254" t="s">
        <v>108</v>
      </c>
      <c r="N254">
        <v>21488.73</v>
      </c>
    </row>
    <row r="255" spans="1:14" ht="14.5" customHeight="1" x14ac:dyDescent="0.35">
      <c r="A255" t="s">
        <v>839</v>
      </c>
      <c r="B255" t="s">
        <v>2461</v>
      </c>
      <c r="C255">
        <v>48</v>
      </c>
      <c r="D255" t="s">
        <v>52</v>
      </c>
      <c r="E255" t="s">
        <v>45</v>
      </c>
      <c r="F255" t="s">
        <v>134</v>
      </c>
      <c r="G255" t="s">
        <v>280</v>
      </c>
      <c r="H255">
        <v>1.65</v>
      </c>
      <c r="I255">
        <v>121</v>
      </c>
      <c r="J255" t="s">
        <v>41</v>
      </c>
      <c r="K255" t="s">
        <v>65</v>
      </c>
      <c r="L255" t="s">
        <v>86</v>
      </c>
      <c r="M255" t="s">
        <v>840</v>
      </c>
      <c r="N255">
        <v>44289.17</v>
      </c>
    </row>
    <row r="256" spans="1:14" ht="14.5" customHeight="1" x14ac:dyDescent="0.35">
      <c r="A256" t="s">
        <v>1276</v>
      </c>
      <c r="B256" t="s">
        <v>643</v>
      </c>
      <c r="C256">
        <v>48</v>
      </c>
      <c r="D256" t="s">
        <v>138</v>
      </c>
      <c r="E256" t="s">
        <v>59</v>
      </c>
      <c r="F256" t="s">
        <v>273</v>
      </c>
      <c r="G256" t="s">
        <v>90</v>
      </c>
      <c r="H256">
        <v>160</v>
      </c>
      <c r="I256">
        <v>42</v>
      </c>
      <c r="J256" t="s">
        <v>46</v>
      </c>
      <c r="K256" t="s">
        <v>142</v>
      </c>
      <c r="L256" t="s">
        <v>55</v>
      </c>
      <c r="M256" t="s">
        <v>1277</v>
      </c>
      <c r="N256">
        <v>35785.589999999997</v>
      </c>
    </row>
    <row r="257" spans="1:14" ht="14.5" customHeight="1" x14ac:dyDescent="0.35">
      <c r="A257" t="s">
        <v>1380</v>
      </c>
      <c r="B257" t="s">
        <v>1381</v>
      </c>
      <c r="C257">
        <v>48</v>
      </c>
      <c r="D257" t="s">
        <v>138</v>
      </c>
      <c r="E257" t="s">
        <v>59</v>
      </c>
      <c r="F257" t="s">
        <v>2518</v>
      </c>
      <c r="G257" t="s">
        <v>208</v>
      </c>
      <c r="H257">
        <v>192.5</v>
      </c>
      <c r="I257">
        <v>93.8</v>
      </c>
      <c r="K257" t="s">
        <v>46</v>
      </c>
      <c r="L257" t="s">
        <v>21</v>
      </c>
      <c r="M257" t="s">
        <v>1382</v>
      </c>
      <c r="N257">
        <v>32358.3</v>
      </c>
    </row>
    <row r="258" spans="1:14" ht="14.5" customHeight="1" x14ac:dyDescent="0.35">
      <c r="A258" t="s">
        <v>551</v>
      </c>
      <c r="B258" t="s">
        <v>552</v>
      </c>
      <c r="C258">
        <v>47</v>
      </c>
      <c r="D258" t="s">
        <v>138</v>
      </c>
      <c r="E258" t="s">
        <v>84</v>
      </c>
      <c r="F258" t="s">
        <v>273</v>
      </c>
      <c r="G258" t="s">
        <v>102</v>
      </c>
      <c r="H258">
        <v>191.7</v>
      </c>
      <c r="I258">
        <v>118</v>
      </c>
      <c r="J258" t="s">
        <v>36</v>
      </c>
      <c r="K258" t="s">
        <v>30</v>
      </c>
      <c r="L258" t="s">
        <v>143</v>
      </c>
      <c r="M258" t="s">
        <v>553</v>
      </c>
      <c r="N258">
        <v>18077.900000000001</v>
      </c>
    </row>
    <row r="259" spans="1:14" ht="14.5" customHeight="1" x14ac:dyDescent="0.35">
      <c r="A259" t="s">
        <v>920</v>
      </c>
      <c r="B259" t="s">
        <v>2465</v>
      </c>
      <c r="C259">
        <v>47</v>
      </c>
      <c r="D259" t="s">
        <v>52</v>
      </c>
      <c r="E259" t="s">
        <v>111</v>
      </c>
      <c r="F259" t="s">
        <v>120</v>
      </c>
      <c r="G259" t="s">
        <v>35</v>
      </c>
      <c r="H259">
        <v>161.4</v>
      </c>
      <c r="J259" t="s">
        <v>65</v>
      </c>
      <c r="K259" t="s">
        <v>20</v>
      </c>
      <c r="L259" t="s">
        <v>42</v>
      </c>
      <c r="M259" t="s">
        <v>921</v>
      </c>
      <c r="N259">
        <v>19451.29</v>
      </c>
    </row>
    <row r="260" spans="1:14" ht="14.5" customHeight="1" x14ac:dyDescent="0.35">
      <c r="A260" t="s">
        <v>1079</v>
      </c>
      <c r="B260" t="s">
        <v>1080</v>
      </c>
      <c r="C260">
        <v>47</v>
      </c>
      <c r="D260" t="s">
        <v>29</v>
      </c>
      <c r="E260" t="s">
        <v>146</v>
      </c>
      <c r="F260" t="s">
        <v>17</v>
      </c>
      <c r="G260" t="s">
        <v>60</v>
      </c>
      <c r="H260">
        <v>185</v>
      </c>
      <c r="J260" t="s">
        <v>95</v>
      </c>
      <c r="L260" t="s">
        <v>143</v>
      </c>
      <c r="M260" t="s">
        <v>1081</v>
      </c>
      <c r="N260">
        <v>18197.61</v>
      </c>
    </row>
    <row r="261" spans="1:14" ht="14.5" customHeight="1" x14ac:dyDescent="0.35">
      <c r="A261" t="s">
        <v>257</v>
      </c>
      <c r="B261" t="s">
        <v>258</v>
      </c>
      <c r="C261">
        <v>46</v>
      </c>
      <c r="D261" t="s">
        <v>29</v>
      </c>
      <c r="E261" t="s">
        <v>59</v>
      </c>
      <c r="F261" t="s">
        <v>79</v>
      </c>
      <c r="G261" t="s">
        <v>90</v>
      </c>
      <c r="H261">
        <v>183</v>
      </c>
      <c r="I261">
        <v>107.4</v>
      </c>
      <c r="J261" t="s">
        <v>19</v>
      </c>
      <c r="L261" t="s">
        <v>31</v>
      </c>
      <c r="M261" t="s">
        <v>259</v>
      </c>
      <c r="N261">
        <v>3055.18</v>
      </c>
    </row>
    <row r="262" spans="1:14" ht="14.5" customHeight="1" x14ac:dyDescent="0.35">
      <c r="A262" t="s">
        <v>278</v>
      </c>
      <c r="B262" t="s">
        <v>279</v>
      </c>
      <c r="C262">
        <v>46</v>
      </c>
      <c r="D262" t="s">
        <v>29</v>
      </c>
      <c r="E262" t="s">
        <v>130</v>
      </c>
      <c r="F262" t="s">
        <v>2517</v>
      </c>
      <c r="G262" t="s">
        <v>280</v>
      </c>
      <c r="H262">
        <v>175</v>
      </c>
      <c r="I262">
        <v>99.3</v>
      </c>
      <c r="J262" t="s">
        <v>65</v>
      </c>
      <c r="K262" t="s">
        <v>95</v>
      </c>
      <c r="L262" t="s">
        <v>143</v>
      </c>
      <c r="M262" t="s">
        <v>281</v>
      </c>
      <c r="N262">
        <v>49247.49</v>
      </c>
    </row>
    <row r="263" spans="1:14" ht="14.5" customHeight="1" x14ac:dyDescent="0.35">
      <c r="A263" t="s">
        <v>468</v>
      </c>
      <c r="B263" t="s">
        <v>469</v>
      </c>
      <c r="C263">
        <v>46</v>
      </c>
      <c r="D263" t="s">
        <v>138</v>
      </c>
      <c r="E263" t="s">
        <v>73</v>
      </c>
      <c r="F263" t="s">
        <v>120</v>
      </c>
      <c r="G263" t="s">
        <v>112</v>
      </c>
      <c r="H263">
        <v>194.8</v>
      </c>
      <c r="I263">
        <v>42.5</v>
      </c>
      <c r="J263" t="s">
        <v>36</v>
      </c>
      <c r="K263" t="s">
        <v>30</v>
      </c>
      <c r="L263" t="s">
        <v>21</v>
      </c>
      <c r="M263" t="s">
        <v>470</v>
      </c>
      <c r="N263">
        <v>27335.17</v>
      </c>
    </row>
    <row r="264" spans="1:14" ht="14.5" customHeight="1" x14ac:dyDescent="0.35">
      <c r="A264" t="s">
        <v>993</v>
      </c>
      <c r="B264" t="s">
        <v>994</v>
      </c>
      <c r="C264">
        <v>46</v>
      </c>
      <c r="D264" t="s">
        <v>138</v>
      </c>
      <c r="E264" t="s">
        <v>115</v>
      </c>
      <c r="F264" t="s">
        <v>2518</v>
      </c>
      <c r="G264" t="s">
        <v>208</v>
      </c>
      <c r="H264">
        <v>155</v>
      </c>
      <c r="I264">
        <v>90</v>
      </c>
      <c r="J264" t="s">
        <v>85</v>
      </c>
      <c r="K264" t="s">
        <v>30</v>
      </c>
      <c r="L264" t="s">
        <v>226</v>
      </c>
      <c r="M264" t="s">
        <v>995</v>
      </c>
      <c r="N264">
        <v>48740.06</v>
      </c>
    </row>
    <row r="265" spans="1:14" ht="14.5" customHeight="1" x14ac:dyDescent="0.35">
      <c r="A265" t="s">
        <v>1139</v>
      </c>
      <c r="B265" t="s">
        <v>2484</v>
      </c>
      <c r="C265">
        <v>46</v>
      </c>
      <c r="D265" t="s">
        <v>52</v>
      </c>
      <c r="E265" t="s">
        <v>89</v>
      </c>
      <c r="F265" t="s">
        <v>141</v>
      </c>
      <c r="G265" t="s">
        <v>124</v>
      </c>
      <c r="H265">
        <v>195</v>
      </c>
      <c r="I265">
        <v>47</v>
      </c>
      <c r="J265" t="s">
        <v>46</v>
      </c>
      <c r="K265" t="s">
        <v>30</v>
      </c>
      <c r="L265" t="s">
        <v>48</v>
      </c>
      <c r="M265" t="s">
        <v>1140</v>
      </c>
      <c r="N265">
        <v>32273.41</v>
      </c>
    </row>
    <row r="266" spans="1:14" ht="14.5" customHeight="1" x14ac:dyDescent="0.35">
      <c r="A266" t="s">
        <v>1173</v>
      </c>
      <c r="B266" t="s">
        <v>2487</v>
      </c>
      <c r="C266">
        <v>46</v>
      </c>
      <c r="D266" t="s">
        <v>29</v>
      </c>
      <c r="E266" t="s">
        <v>130</v>
      </c>
      <c r="F266" t="s">
        <v>79</v>
      </c>
      <c r="G266" t="s">
        <v>54</v>
      </c>
      <c r="H266">
        <v>168</v>
      </c>
      <c r="I266">
        <v>88</v>
      </c>
      <c r="J266" t="s">
        <v>61</v>
      </c>
      <c r="K266" t="s">
        <v>47</v>
      </c>
      <c r="L266" t="s">
        <v>199</v>
      </c>
      <c r="M266" t="s">
        <v>1174</v>
      </c>
      <c r="N266">
        <v>40163.629999999997</v>
      </c>
    </row>
    <row r="267" spans="1:14" ht="14.5" customHeight="1" x14ac:dyDescent="0.35">
      <c r="A267" t="s">
        <v>1376</v>
      </c>
      <c r="B267" t="s">
        <v>1186</v>
      </c>
      <c r="C267">
        <v>46</v>
      </c>
      <c r="D267" t="s">
        <v>138</v>
      </c>
      <c r="E267" t="s">
        <v>24</v>
      </c>
      <c r="F267" t="s">
        <v>134</v>
      </c>
      <c r="G267" t="s">
        <v>35</v>
      </c>
      <c r="H267">
        <v>159</v>
      </c>
      <c r="J267" t="s">
        <v>65</v>
      </c>
      <c r="K267" t="s">
        <v>142</v>
      </c>
      <c r="L267" t="s">
        <v>107</v>
      </c>
      <c r="M267" t="s">
        <v>1377</v>
      </c>
      <c r="N267">
        <v>22869.94</v>
      </c>
    </row>
    <row r="268" spans="1:14" ht="14.5" customHeight="1" x14ac:dyDescent="0.35">
      <c r="A268" t="s">
        <v>215</v>
      </c>
      <c r="B268" t="s">
        <v>216</v>
      </c>
      <c r="C268">
        <v>45</v>
      </c>
      <c r="D268" t="s">
        <v>138</v>
      </c>
      <c r="E268" t="s">
        <v>217</v>
      </c>
      <c r="F268" t="s">
        <v>2517</v>
      </c>
      <c r="G268" t="s">
        <v>102</v>
      </c>
      <c r="H268">
        <v>191.1</v>
      </c>
      <c r="I268">
        <v>-10</v>
      </c>
      <c r="J268" t="s">
        <v>46</v>
      </c>
      <c r="K268" t="s">
        <v>20</v>
      </c>
      <c r="L268" t="s">
        <v>107</v>
      </c>
      <c r="M268" t="s">
        <v>218</v>
      </c>
      <c r="N268">
        <v>45469.86</v>
      </c>
    </row>
    <row r="269" spans="1:14" ht="14.5" customHeight="1" x14ac:dyDescent="0.35">
      <c r="A269" t="s">
        <v>931</v>
      </c>
      <c r="B269" t="s">
        <v>932</v>
      </c>
      <c r="C269">
        <v>45</v>
      </c>
      <c r="D269" t="s">
        <v>52</v>
      </c>
      <c r="E269" t="s">
        <v>230</v>
      </c>
      <c r="F269" t="s">
        <v>17</v>
      </c>
      <c r="G269" t="s">
        <v>60</v>
      </c>
      <c r="H269">
        <v>163</v>
      </c>
      <c r="I269">
        <v>58</v>
      </c>
      <c r="J269" t="s">
        <v>95</v>
      </c>
      <c r="L269" t="s">
        <v>199</v>
      </c>
      <c r="M269" t="s">
        <v>933</v>
      </c>
      <c r="N269">
        <v>37109.29</v>
      </c>
    </row>
    <row r="270" spans="1:14" ht="14.5" customHeight="1" x14ac:dyDescent="0.35">
      <c r="A270" t="s">
        <v>228</v>
      </c>
      <c r="B270" t="s">
        <v>1063</v>
      </c>
      <c r="C270">
        <v>45</v>
      </c>
      <c r="D270" t="s">
        <v>29</v>
      </c>
      <c r="E270" t="s">
        <v>53</v>
      </c>
      <c r="F270" t="s">
        <v>2518</v>
      </c>
      <c r="G270" t="s">
        <v>54</v>
      </c>
      <c r="H270">
        <v>183.7</v>
      </c>
      <c r="I270">
        <v>76.3</v>
      </c>
      <c r="J270" t="s">
        <v>19</v>
      </c>
      <c r="K270" t="s">
        <v>47</v>
      </c>
      <c r="L270" t="s">
        <v>86</v>
      </c>
      <c r="M270" t="s">
        <v>1064</v>
      </c>
      <c r="N270">
        <v>12260.18</v>
      </c>
    </row>
    <row r="271" spans="1:14" ht="14.5" customHeight="1" x14ac:dyDescent="0.35">
      <c r="A271" t="s">
        <v>1398</v>
      </c>
      <c r="B271" t="s">
        <v>240</v>
      </c>
      <c r="C271">
        <v>45</v>
      </c>
      <c r="D271" t="s">
        <v>52</v>
      </c>
      <c r="E271" t="s">
        <v>59</v>
      </c>
      <c r="F271" t="s">
        <v>36</v>
      </c>
      <c r="G271" t="s">
        <v>25</v>
      </c>
      <c r="H271">
        <v>1.65</v>
      </c>
      <c r="I271">
        <v>117</v>
      </c>
      <c r="J271" t="s">
        <v>20</v>
      </c>
      <c r="K271" t="s">
        <v>47</v>
      </c>
      <c r="L271" t="s">
        <v>96</v>
      </c>
      <c r="M271" t="s">
        <v>1399</v>
      </c>
      <c r="N271">
        <v>-15145.68</v>
      </c>
    </row>
    <row r="272" spans="1:14" ht="14.5" customHeight="1" x14ac:dyDescent="0.35">
      <c r="A272" t="s">
        <v>145</v>
      </c>
      <c r="B272" t="s">
        <v>329</v>
      </c>
      <c r="C272">
        <v>44</v>
      </c>
      <c r="D272" t="s">
        <v>138</v>
      </c>
      <c r="E272" t="s">
        <v>146</v>
      </c>
      <c r="F272" t="s">
        <v>17</v>
      </c>
      <c r="G272" t="s">
        <v>160</v>
      </c>
      <c r="H272">
        <v>192.1</v>
      </c>
      <c r="I272">
        <v>96</v>
      </c>
      <c r="J272" t="s">
        <v>65</v>
      </c>
      <c r="K272" t="s">
        <v>19</v>
      </c>
      <c r="L272" t="s">
        <v>86</v>
      </c>
      <c r="M272" t="s">
        <v>147</v>
      </c>
      <c r="N272">
        <v>16007.33</v>
      </c>
    </row>
    <row r="273" spans="1:14" ht="14.5" customHeight="1" x14ac:dyDescent="0.35">
      <c r="A273" t="s">
        <v>326</v>
      </c>
      <c r="B273" t="s">
        <v>2419</v>
      </c>
      <c r="C273">
        <v>44</v>
      </c>
      <c r="D273" t="s">
        <v>29</v>
      </c>
      <c r="E273" t="s">
        <v>78</v>
      </c>
      <c r="F273" t="s">
        <v>120</v>
      </c>
      <c r="G273" t="s">
        <v>80</v>
      </c>
      <c r="H273">
        <v>149</v>
      </c>
      <c r="I273">
        <v>100</v>
      </c>
      <c r="J273" t="s">
        <v>61</v>
      </c>
      <c r="K273" t="s">
        <v>47</v>
      </c>
      <c r="L273" t="s">
        <v>42</v>
      </c>
      <c r="M273" t="s">
        <v>327</v>
      </c>
      <c r="N273">
        <v>40187.550000000003</v>
      </c>
    </row>
    <row r="274" spans="1:14" ht="14.5" customHeight="1" x14ac:dyDescent="0.35">
      <c r="A274" t="s">
        <v>328</v>
      </c>
      <c r="B274" t="s">
        <v>329</v>
      </c>
      <c r="C274">
        <v>44</v>
      </c>
      <c r="D274" t="s">
        <v>138</v>
      </c>
      <c r="E274" t="s">
        <v>84</v>
      </c>
      <c r="F274" t="s">
        <v>120</v>
      </c>
      <c r="G274" t="s">
        <v>160</v>
      </c>
      <c r="H274">
        <v>150</v>
      </c>
      <c r="I274">
        <v>107</v>
      </c>
      <c r="J274" t="s">
        <v>94</v>
      </c>
      <c r="L274" t="s">
        <v>226</v>
      </c>
      <c r="M274" t="s">
        <v>330</v>
      </c>
      <c r="N274">
        <v>12481.8</v>
      </c>
    </row>
    <row r="275" spans="1:14" ht="14.5" customHeight="1" x14ac:dyDescent="0.35">
      <c r="A275" t="s">
        <v>518</v>
      </c>
      <c r="B275" t="s">
        <v>479</v>
      </c>
      <c r="C275">
        <v>44</v>
      </c>
      <c r="D275" t="s">
        <v>29</v>
      </c>
      <c r="E275" t="s">
        <v>119</v>
      </c>
      <c r="F275" t="s">
        <v>141</v>
      </c>
      <c r="G275" t="s">
        <v>36</v>
      </c>
      <c r="H275">
        <v>181.5</v>
      </c>
      <c r="I275">
        <v>101.1</v>
      </c>
      <c r="J275" t="s">
        <v>85</v>
      </c>
      <c r="L275" t="s">
        <v>199</v>
      </c>
      <c r="M275" t="s">
        <v>519</v>
      </c>
      <c r="N275">
        <v>4534.3500000000004</v>
      </c>
    </row>
    <row r="276" spans="1:14" ht="14.5" customHeight="1" x14ac:dyDescent="0.35">
      <c r="A276" t="s">
        <v>570</v>
      </c>
      <c r="B276" t="s">
        <v>571</v>
      </c>
      <c r="C276">
        <v>44</v>
      </c>
      <c r="D276" t="s">
        <v>138</v>
      </c>
      <c r="E276" t="s">
        <v>45</v>
      </c>
      <c r="F276" t="s">
        <v>2518</v>
      </c>
      <c r="G276" t="s">
        <v>198</v>
      </c>
      <c r="H276">
        <v>1.58</v>
      </c>
      <c r="I276">
        <v>106</v>
      </c>
      <c r="J276" t="s">
        <v>41</v>
      </c>
      <c r="K276" t="s">
        <v>65</v>
      </c>
      <c r="L276" t="s">
        <v>175</v>
      </c>
      <c r="M276" t="s">
        <v>572</v>
      </c>
      <c r="N276">
        <v>31116.73</v>
      </c>
    </row>
    <row r="277" spans="1:14" ht="14.5" customHeight="1" x14ac:dyDescent="0.35">
      <c r="A277" t="s">
        <v>674</v>
      </c>
      <c r="B277" t="s">
        <v>675</v>
      </c>
      <c r="C277">
        <v>44</v>
      </c>
      <c r="D277" t="s">
        <v>29</v>
      </c>
      <c r="E277" t="s">
        <v>146</v>
      </c>
      <c r="F277" t="s">
        <v>273</v>
      </c>
      <c r="G277" t="s">
        <v>35</v>
      </c>
      <c r="H277">
        <v>168.4</v>
      </c>
      <c r="I277">
        <v>92</v>
      </c>
      <c r="J277" t="s">
        <v>95</v>
      </c>
      <c r="K277" t="s">
        <v>95</v>
      </c>
      <c r="L277" t="s">
        <v>42</v>
      </c>
      <c r="M277" t="s">
        <v>676</v>
      </c>
      <c r="N277">
        <v>49698.95</v>
      </c>
    </row>
    <row r="278" spans="1:14" ht="14.5" customHeight="1" x14ac:dyDescent="0.35">
      <c r="A278" t="s">
        <v>1339</v>
      </c>
      <c r="B278" t="s">
        <v>2499</v>
      </c>
      <c r="C278">
        <v>44</v>
      </c>
      <c r="D278" t="s">
        <v>138</v>
      </c>
      <c r="E278" t="s">
        <v>89</v>
      </c>
      <c r="F278" t="s">
        <v>79</v>
      </c>
      <c r="G278" t="s">
        <v>102</v>
      </c>
      <c r="H278">
        <v>188.1</v>
      </c>
      <c r="I278">
        <v>44</v>
      </c>
      <c r="J278" t="s">
        <v>94</v>
      </c>
      <c r="K278" t="s">
        <v>85</v>
      </c>
      <c r="L278" t="s">
        <v>55</v>
      </c>
      <c r="M278" t="s">
        <v>1340</v>
      </c>
      <c r="N278">
        <v>14504.81</v>
      </c>
    </row>
    <row r="279" spans="1:14" ht="14.5" customHeight="1" x14ac:dyDescent="0.35">
      <c r="A279" t="s">
        <v>473</v>
      </c>
      <c r="B279" t="s">
        <v>474</v>
      </c>
      <c r="C279">
        <v>43</v>
      </c>
      <c r="D279" t="s">
        <v>29</v>
      </c>
      <c r="E279" t="s">
        <v>53</v>
      </c>
      <c r="F279" t="s">
        <v>134</v>
      </c>
      <c r="G279" t="s">
        <v>417</v>
      </c>
      <c r="H279">
        <v>164</v>
      </c>
      <c r="I279">
        <v>93</v>
      </c>
      <c r="J279" t="s">
        <v>61</v>
      </c>
      <c r="K279" t="s">
        <v>46</v>
      </c>
      <c r="L279" t="s">
        <v>143</v>
      </c>
      <c r="M279" t="s">
        <v>475</v>
      </c>
      <c r="N279">
        <v>27606.82</v>
      </c>
    </row>
    <row r="280" spans="1:14" ht="14.5" customHeight="1" x14ac:dyDescent="0.35">
      <c r="A280" t="s">
        <v>756</v>
      </c>
      <c r="B280" t="s">
        <v>2451</v>
      </c>
      <c r="C280">
        <v>43</v>
      </c>
      <c r="D280" t="s">
        <v>29</v>
      </c>
      <c r="E280" t="s">
        <v>24</v>
      </c>
      <c r="F280" t="s">
        <v>2517</v>
      </c>
      <c r="G280" t="s">
        <v>160</v>
      </c>
      <c r="H280">
        <v>192.5</v>
      </c>
      <c r="I280">
        <v>71.599999999999994</v>
      </c>
      <c r="J280" t="s">
        <v>95</v>
      </c>
      <c r="K280" t="s">
        <v>85</v>
      </c>
      <c r="L280" t="s">
        <v>42</v>
      </c>
      <c r="M280" t="s">
        <v>757</v>
      </c>
      <c r="N280">
        <v>28946.57</v>
      </c>
    </row>
    <row r="281" spans="1:14" ht="14.5" customHeight="1" x14ac:dyDescent="0.35">
      <c r="A281" t="s">
        <v>1303</v>
      </c>
      <c r="B281" t="s">
        <v>1304</v>
      </c>
      <c r="C281">
        <v>43</v>
      </c>
      <c r="D281" t="s">
        <v>138</v>
      </c>
      <c r="E281" t="s">
        <v>146</v>
      </c>
      <c r="F281" t="s">
        <v>2517</v>
      </c>
      <c r="G281" t="s">
        <v>208</v>
      </c>
      <c r="H281">
        <v>177</v>
      </c>
      <c r="I281">
        <v>74.400000000000006</v>
      </c>
      <c r="J281" t="s">
        <v>95</v>
      </c>
      <c r="K281" t="s">
        <v>46</v>
      </c>
      <c r="L281" t="s">
        <v>226</v>
      </c>
      <c r="M281" t="s">
        <v>1305</v>
      </c>
      <c r="N281">
        <v>14352.8</v>
      </c>
    </row>
    <row r="282" spans="1:14" ht="14.5" customHeight="1" x14ac:dyDescent="0.35">
      <c r="A282" t="s">
        <v>1308</v>
      </c>
      <c r="B282" t="s">
        <v>2497</v>
      </c>
      <c r="C282">
        <v>43</v>
      </c>
      <c r="D282" t="s">
        <v>52</v>
      </c>
      <c r="E282" t="s">
        <v>111</v>
      </c>
      <c r="F282" t="s">
        <v>17</v>
      </c>
      <c r="G282" t="s">
        <v>102</v>
      </c>
      <c r="H282">
        <v>1.58</v>
      </c>
      <c r="I282">
        <v>0</v>
      </c>
      <c r="J282" t="s">
        <v>36</v>
      </c>
      <c r="L282" t="s">
        <v>86</v>
      </c>
      <c r="M282" t="s">
        <v>1309</v>
      </c>
      <c r="N282">
        <v>42400.800000000003</v>
      </c>
    </row>
    <row r="283" spans="1:14" ht="14.5" customHeight="1" x14ac:dyDescent="0.35">
      <c r="A283" t="s">
        <v>1365</v>
      </c>
      <c r="B283" t="s">
        <v>1366</v>
      </c>
      <c r="C283">
        <v>43</v>
      </c>
      <c r="D283" t="s">
        <v>138</v>
      </c>
      <c r="E283" t="s">
        <v>89</v>
      </c>
      <c r="F283" t="s">
        <v>2517</v>
      </c>
      <c r="G283" t="s">
        <v>198</v>
      </c>
      <c r="H283">
        <v>188.8</v>
      </c>
      <c r="I283">
        <v>80.599999999999994</v>
      </c>
      <c r="K283" t="s">
        <v>30</v>
      </c>
      <c r="L283" t="s">
        <v>21</v>
      </c>
      <c r="M283" t="s">
        <v>1367</v>
      </c>
      <c r="N283">
        <v>47953.62</v>
      </c>
    </row>
    <row r="284" spans="1:14" ht="14.5" customHeight="1" x14ac:dyDescent="0.35">
      <c r="A284" t="s">
        <v>28</v>
      </c>
      <c r="B284" t="s">
        <v>2404</v>
      </c>
      <c r="C284">
        <v>42</v>
      </c>
      <c r="D284" t="s">
        <v>29</v>
      </c>
      <c r="E284" t="s">
        <v>24</v>
      </c>
      <c r="F284" t="s">
        <v>17</v>
      </c>
      <c r="G284" t="s">
        <v>35</v>
      </c>
      <c r="H284">
        <v>188</v>
      </c>
      <c r="I284">
        <v>69.3</v>
      </c>
      <c r="J284" t="s">
        <v>20</v>
      </c>
      <c r="K284" t="s">
        <v>30</v>
      </c>
      <c r="L284" t="s">
        <v>31</v>
      </c>
      <c r="M284" t="s">
        <v>32</v>
      </c>
      <c r="N284">
        <v>30823.32</v>
      </c>
    </row>
    <row r="285" spans="1:14" ht="14.5" customHeight="1" x14ac:dyDescent="0.35">
      <c r="A285" t="s">
        <v>484</v>
      </c>
      <c r="B285" t="s">
        <v>485</v>
      </c>
      <c r="C285">
        <v>42</v>
      </c>
      <c r="D285" t="s">
        <v>29</v>
      </c>
      <c r="E285" t="s">
        <v>53</v>
      </c>
      <c r="F285" t="s">
        <v>2518</v>
      </c>
      <c r="G285" t="s">
        <v>102</v>
      </c>
      <c r="H285">
        <v>167.7</v>
      </c>
      <c r="I285">
        <v>89.5</v>
      </c>
      <c r="K285" t="s">
        <v>20</v>
      </c>
      <c r="L285" t="s">
        <v>31</v>
      </c>
      <c r="M285" t="s">
        <v>486</v>
      </c>
      <c r="N285">
        <v>3923.35</v>
      </c>
    </row>
    <row r="286" spans="1:14" ht="14.5" customHeight="1" x14ac:dyDescent="0.35">
      <c r="A286" t="s">
        <v>512</v>
      </c>
      <c r="B286" t="s">
        <v>513</v>
      </c>
      <c r="C286">
        <v>42</v>
      </c>
      <c r="D286" t="s">
        <v>52</v>
      </c>
      <c r="E286" t="s">
        <v>45</v>
      </c>
      <c r="F286" t="s">
        <v>36</v>
      </c>
      <c r="G286" t="s">
        <v>124</v>
      </c>
      <c r="H286">
        <v>153</v>
      </c>
      <c r="I286">
        <v>70.900000000000006</v>
      </c>
      <c r="J286" t="s">
        <v>94</v>
      </c>
      <c r="K286" t="s">
        <v>95</v>
      </c>
      <c r="L286" t="s">
        <v>21</v>
      </c>
      <c r="M286" t="s">
        <v>514</v>
      </c>
      <c r="N286">
        <v>35150.71</v>
      </c>
    </row>
    <row r="287" spans="1:14" ht="14.5" customHeight="1" x14ac:dyDescent="0.35">
      <c r="A287" t="s">
        <v>690</v>
      </c>
      <c r="B287" t="s">
        <v>691</v>
      </c>
      <c r="C287">
        <v>42</v>
      </c>
      <c r="D287" t="s">
        <v>29</v>
      </c>
      <c r="E287" t="s">
        <v>59</v>
      </c>
      <c r="F287" t="s">
        <v>2518</v>
      </c>
      <c r="G287" t="s">
        <v>60</v>
      </c>
      <c r="H287">
        <v>169</v>
      </c>
      <c r="I287">
        <v>119.5</v>
      </c>
      <c r="J287" t="s">
        <v>65</v>
      </c>
      <c r="L287" t="s">
        <v>31</v>
      </c>
      <c r="M287" t="s">
        <v>692</v>
      </c>
      <c r="N287">
        <v>18849.89</v>
      </c>
    </row>
    <row r="288" spans="1:14" ht="14.5" customHeight="1" x14ac:dyDescent="0.35">
      <c r="A288" t="s">
        <v>1120</v>
      </c>
      <c r="B288" t="s">
        <v>1121</v>
      </c>
      <c r="C288">
        <v>42</v>
      </c>
      <c r="D288" t="s">
        <v>138</v>
      </c>
      <c r="E288" t="s">
        <v>89</v>
      </c>
      <c r="F288" t="s">
        <v>120</v>
      </c>
      <c r="G288" t="s">
        <v>102</v>
      </c>
      <c r="H288">
        <v>193</v>
      </c>
      <c r="I288">
        <v>-10</v>
      </c>
      <c r="J288" t="s">
        <v>61</v>
      </c>
      <c r="L288" t="s">
        <v>199</v>
      </c>
      <c r="M288" t="s">
        <v>1122</v>
      </c>
      <c r="N288">
        <v>48301.21</v>
      </c>
    </row>
    <row r="289" spans="1:14" ht="14.5" customHeight="1" x14ac:dyDescent="0.35">
      <c r="A289" t="s">
        <v>1185</v>
      </c>
      <c r="B289" t="s">
        <v>1186</v>
      </c>
      <c r="C289">
        <v>42</v>
      </c>
      <c r="D289" t="s">
        <v>29</v>
      </c>
      <c r="E289" t="s">
        <v>73</v>
      </c>
      <c r="F289" t="s">
        <v>36</v>
      </c>
      <c r="G289" t="s">
        <v>36</v>
      </c>
      <c r="H289">
        <v>146</v>
      </c>
      <c r="I289">
        <v>127.2</v>
      </c>
      <c r="J289" t="s">
        <v>20</v>
      </c>
      <c r="L289" t="s">
        <v>96</v>
      </c>
      <c r="M289" t="s">
        <v>1187</v>
      </c>
      <c r="N289">
        <v>15687.75</v>
      </c>
    </row>
    <row r="290" spans="1:14" ht="14.5" customHeight="1" x14ac:dyDescent="0.35">
      <c r="A290" t="s">
        <v>1487</v>
      </c>
      <c r="B290" t="s">
        <v>279</v>
      </c>
      <c r="C290">
        <v>42</v>
      </c>
      <c r="D290" t="s">
        <v>29</v>
      </c>
      <c r="E290" t="s">
        <v>59</v>
      </c>
      <c r="F290" t="s">
        <v>2518</v>
      </c>
      <c r="G290" t="s">
        <v>80</v>
      </c>
      <c r="H290">
        <v>154.1</v>
      </c>
      <c r="I290">
        <v>120</v>
      </c>
      <c r="J290" t="s">
        <v>19</v>
      </c>
      <c r="K290" t="s">
        <v>19</v>
      </c>
      <c r="L290" t="s">
        <v>86</v>
      </c>
      <c r="M290" t="s">
        <v>1488</v>
      </c>
      <c r="N290">
        <v>48719.31</v>
      </c>
    </row>
    <row r="291" spans="1:14" ht="14.5" customHeight="1" x14ac:dyDescent="0.35">
      <c r="A291" t="s">
        <v>14</v>
      </c>
      <c r="B291" t="s">
        <v>15</v>
      </c>
      <c r="C291">
        <v>41</v>
      </c>
      <c r="D291" t="s">
        <v>138</v>
      </c>
      <c r="E291" t="s">
        <v>16</v>
      </c>
      <c r="F291" t="s">
        <v>17</v>
      </c>
      <c r="G291" t="s">
        <v>18</v>
      </c>
      <c r="H291">
        <v>177.9</v>
      </c>
      <c r="I291">
        <v>0</v>
      </c>
      <c r="J291" t="s">
        <v>19</v>
      </c>
      <c r="K291" t="s">
        <v>20</v>
      </c>
      <c r="L291" t="s">
        <v>21</v>
      </c>
      <c r="M291" t="s">
        <v>22</v>
      </c>
      <c r="N291">
        <v>13381.09</v>
      </c>
    </row>
    <row r="292" spans="1:14" ht="14.5" customHeight="1" x14ac:dyDescent="0.35">
      <c r="A292" t="s">
        <v>151</v>
      </c>
      <c r="B292" t="s">
        <v>152</v>
      </c>
      <c r="C292">
        <v>41</v>
      </c>
      <c r="D292" t="s">
        <v>138</v>
      </c>
      <c r="E292" t="s">
        <v>146</v>
      </c>
      <c r="F292" t="s">
        <v>36</v>
      </c>
      <c r="G292" t="s">
        <v>80</v>
      </c>
      <c r="H292">
        <v>162.19999999999999</v>
      </c>
      <c r="I292">
        <v>98</v>
      </c>
      <c r="J292" t="s">
        <v>61</v>
      </c>
      <c r="K292" t="s">
        <v>30</v>
      </c>
      <c r="L292" t="s">
        <v>55</v>
      </c>
      <c r="M292" t="s">
        <v>153</v>
      </c>
      <c r="N292">
        <v>1550.06</v>
      </c>
    </row>
    <row r="293" spans="1:14" ht="14.5" customHeight="1" x14ac:dyDescent="0.35">
      <c r="A293" t="s">
        <v>237</v>
      </c>
      <c r="B293" t="s">
        <v>2417</v>
      </c>
      <c r="C293">
        <v>41</v>
      </c>
      <c r="D293" t="s">
        <v>29</v>
      </c>
      <c r="E293" t="s">
        <v>217</v>
      </c>
      <c r="F293" t="s">
        <v>2518</v>
      </c>
      <c r="G293" t="s">
        <v>35</v>
      </c>
      <c r="H293">
        <v>-5</v>
      </c>
      <c r="I293">
        <v>49.9</v>
      </c>
      <c r="J293" t="s">
        <v>65</v>
      </c>
      <c r="K293" t="s">
        <v>46</v>
      </c>
      <c r="L293" t="s">
        <v>143</v>
      </c>
      <c r="M293" t="s">
        <v>238</v>
      </c>
      <c r="N293">
        <v>45507.65</v>
      </c>
    </row>
    <row r="294" spans="1:14" ht="14.5" customHeight="1" x14ac:dyDescent="0.35">
      <c r="A294" t="s">
        <v>545</v>
      </c>
      <c r="B294" t="s">
        <v>546</v>
      </c>
      <c r="C294">
        <v>41</v>
      </c>
      <c r="D294" t="s">
        <v>29</v>
      </c>
      <c r="E294" t="s">
        <v>45</v>
      </c>
      <c r="F294" t="s">
        <v>273</v>
      </c>
      <c r="G294" t="s">
        <v>60</v>
      </c>
      <c r="H294">
        <v>158</v>
      </c>
      <c r="I294">
        <v>59.2</v>
      </c>
      <c r="J294" t="s">
        <v>95</v>
      </c>
      <c r="K294" t="s">
        <v>46</v>
      </c>
      <c r="L294" t="s">
        <v>86</v>
      </c>
      <c r="M294" t="s">
        <v>547</v>
      </c>
      <c r="N294">
        <v>18791.59</v>
      </c>
    </row>
    <row r="295" spans="1:14" ht="14.5" customHeight="1" x14ac:dyDescent="0.35">
      <c r="A295" t="s">
        <v>608</v>
      </c>
      <c r="B295" t="s">
        <v>609</v>
      </c>
      <c r="C295">
        <v>41</v>
      </c>
      <c r="D295" t="s">
        <v>138</v>
      </c>
      <c r="E295" t="s">
        <v>230</v>
      </c>
      <c r="F295" t="s">
        <v>141</v>
      </c>
      <c r="G295" t="s">
        <v>35</v>
      </c>
      <c r="H295">
        <v>182</v>
      </c>
      <c r="I295">
        <v>74.599999999999994</v>
      </c>
      <c r="J295" t="s">
        <v>41</v>
      </c>
      <c r="L295" t="s">
        <v>31</v>
      </c>
      <c r="M295" t="s">
        <v>610</v>
      </c>
      <c r="N295">
        <v>42074.64</v>
      </c>
    </row>
    <row r="296" spans="1:14" ht="14.5" customHeight="1" x14ac:dyDescent="0.35">
      <c r="A296" t="s">
        <v>777</v>
      </c>
      <c r="B296" t="s">
        <v>2453</v>
      </c>
      <c r="C296">
        <v>41</v>
      </c>
      <c r="D296" t="s">
        <v>52</v>
      </c>
      <c r="E296" t="s">
        <v>89</v>
      </c>
      <c r="F296" t="s">
        <v>2517</v>
      </c>
      <c r="G296" t="s">
        <v>417</v>
      </c>
      <c r="H296">
        <v>165.4</v>
      </c>
      <c r="I296">
        <v>128</v>
      </c>
      <c r="J296" t="s">
        <v>46</v>
      </c>
      <c r="K296" t="s">
        <v>62</v>
      </c>
      <c r="L296" t="s">
        <v>175</v>
      </c>
      <c r="M296" t="s">
        <v>778</v>
      </c>
      <c r="N296">
        <v>15427.21</v>
      </c>
    </row>
    <row r="297" spans="1:14" ht="14.5" customHeight="1" x14ac:dyDescent="0.35">
      <c r="A297" t="s">
        <v>297</v>
      </c>
      <c r="B297" t="s">
        <v>1429</v>
      </c>
      <c r="C297">
        <v>40</v>
      </c>
      <c r="D297" t="s">
        <v>138</v>
      </c>
      <c r="E297" t="s">
        <v>45</v>
      </c>
      <c r="F297" t="s">
        <v>2517</v>
      </c>
      <c r="G297" t="s">
        <v>124</v>
      </c>
      <c r="H297">
        <v>148</v>
      </c>
      <c r="I297">
        <v>94</v>
      </c>
      <c r="J297" t="s">
        <v>65</v>
      </c>
      <c r="K297" t="s">
        <v>20</v>
      </c>
      <c r="L297" t="s">
        <v>103</v>
      </c>
      <c r="M297" t="s">
        <v>298</v>
      </c>
      <c r="N297">
        <v>34080.69</v>
      </c>
    </row>
    <row r="298" spans="1:14" ht="14.5" customHeight="1" x14ac:dyDescent="0.35">
      <c r="A298" t="s">
        <v>507</v>
      </c>
      <c r="B298" t="s">
        <v>2435</v>
      </c>
      <c r="C298">
        <v>40</v>
      </c>
      <c r="D298" t="s">
        <v>138</v>
      </c>
      <c r="E298" t="s">
        <v>146</v>
      </c>
      <c r="F298" t="s">
        <v>2517</v>
      </c>
      <c r="G298" t="s">
        <v>74</v>
      </c>
      <c r="H298">
        <v>152.9</v>
      </c>
      <c r="I298">
        <v>128</v>
      </c>
      <c r="J298" t="s">
        <v>95</v>
      </c>
      <c r="L298" t="s">
        <v>31</v>
      </c>
      <c r="M298" t="s">
        <v>508</v>
      </c>
      <c r="N298">
        <v>26619.85</v>
      </c>
    </row>
    <row r="299" spans="1:14" ht="14.5" customHeight="1" x14ac:dyDescent="0.35">
      <c r="A299" t="s">
        <v>632</v>
      </c>
      <c r="B299" t="s">
        <v>574</v>
      </c>
      <c r="C299">
        <v>40</v>
      </c>
      <c r="D299" t="s">
        <v>138</v>
      </c>
      <c r="E299" t="s">
        <v>73</v>
      </c>
      <c r="F299" t="s">
        <v>141</v>
      </c>
      <c r="G299" t="s">
        <v>295</v>
      </c>
      <c r="H299">
        <v>186.1</v>
      </c>
      <c r="I299">
        <v>66.900000000000006</v>
      </c>
      <c r="J299" t="s">
        <v>19</v>
      </c>
      <c r="L299" t="s">
        <v>226</v>
      </c>
      <c r="M299" t="s">
        <v>633</v>
      </c>
      <c r="N299">
        <v>31828.99</v>
      </c>
    </row>
    <row r="300" spans="1:14" ht="14.5" customHeight="1" x14ac:dyDescent="0.35">
      <c r="A300" t="s">
        <v>665</v>
      </c>
      <c r="B300" t="s">
        <v>666</v>
      </c>
      <c r="C300">
        <v>40</v>
      </c>
      <c r="D300" t="s">
        <v>138</v>
      </c>
      <c r="E300" t="s">
        <v>24</v>
      </c>
      <c r="F300" t="s">
        <v>141</v>
      </c>
      <c r="G300" t="s">
        <v>417</v>
      </c>
      <c r="H300">
        <v>187.4</v>
      </c>
      <c r="I300">
        <v>114.7</v>
      </c>
      <c r="J300" t="s">
        <v>20</v>
      </c>
      <c r="K300" t="s">
        <v>142</v>
      </c>
      <c r="L300" t="s">
        <v>107</v>
      </c>
      <c r="M300" t="s">
        <v>667</v>
      </c>
    </row>
    <row r="301" spans="1:14" ht="14.5" customHeight="1" x14ac:dyDescent="0.35">
      <c r="A301" t="s">
        <v>774</v>
      </c>
      <c r="B301" t="s">
        <v>775</v>
      </c>
      <c r="C301">
        <v>40</v>
      </c>
      <c r="D301" t="s">
        <v>138</v>
      </c>
      <c r="E301" t="s">
        <v>24</v>
      </c>
      <c r="F301" t="s">
        <v>120</v>
      </c>
      <c r="G301" t="s">
        <v>35</v>
      </c>
      <c r="H301">
        <v>190</v>
      </c>
      <c r="I301">
        <v>121.1</v>
      </c>
      <c r="J301" t="s">
        <v>19</v>
      </c>
      <c r="L301" t="s">
        <v>31</v>
      </c>
      <c r="M301" t="s">
        <v>776</v>
      </c>
      <c r="N301">
        <v>19198.009999999998</v>
      </c>
    </row>
    <row r="302" spans="1:14" ht="14.5" customHeight="1" x14ac:dyDescent="0.35">
      <c r="A302" t="s">
        <v>825</v>
      </c>
      <c r="B302" t="s">
        <v>826</v>
      </c>
      <c r="C302">
        <v>40</v>
      </c>
      <c r="D302" t="s">
        <v>138</v>
      </c>
      <c r="E302" t="s">
        <v>24</v>
      </c>
      <c r="F302" t="s">
        <v>17</v>
      </c>
      <c r="G302" t="s">
        <v>208</v>
      </c>
      <c r="H302">
        <v>182</v>
      </c>
      <c r="I302">
        <v>64</v>
      </c>
      <c r="J302" t="s">
        <v>61</v>
      </c>
      <c r="K302" t="s">
        <v>62</v>
      </c>
      <c r="L302" t="s">
        <v>175</v>
      </c>
      <c r="M302" t="s">
        <v>827</v>
      </c>
      <c r="N302">
        <v>47994.03</v>
      </c>
    </row>
    <row r="303" spans="1:14" ht="14.5" customHeight="1" x14ac:dyDescent="0.35">
      <c r="A303" t="s">
        <v>1065</v>
      </c>
      <c r="B303" t="s">
        <v>2477</v>
      </c>
      <c r="C303">
        <v>40</v>
      </c>
      <c r="D303" t="s">
        <v>52</v>
      </c>
      <c r="E303" t="s">
        <v>111</v>
      </c>
      <c r="F303" t="s">
        <v>2517</v>
      </c>
      <c r="G303" t="s">
        <v>417</v>
      </c>
      <c r="H303">
        <v>165.5</v>
      </c>
      <c r="I303">
        <v>500</v>
      </c>
      <c r="J303" t="s">
        <v>36</v>
      </c>
      <c r="K303" t="s">
        <v>20</v>
      </c>
      <c r="L303" t="s">
        <v>175</v>
      </c>
      <c r="M303" t="s">
        <v>1066</v>
      </c>
      <c r="N303">
        <v>44022.35</v>
      </c>
    </row>
    <row r="304" spans="1:14" ht="14.5" customHeight="1" x14ac:dyDescent="0.35">
      <c r="A304" t="s">
        <v>1318</v>
      </c>
      <c r="B304" t="s">
        <v>1319</v>
      </c>
      <c r="C304">
        <v>40</v>
      </c>
      <c r="D304" t="s">
        <v>138</v>
      </c>
      <c r="E304" t="s">
        <v>78</v>
      </c>
      <c r="F304" t="s">
        <v>2518</v>
      </c>
      <c r="G304" t="s">
        <v>208</v>
      </c>
      <c r="H304">
        <v>183</v>
      </c>
      <c r="I304">
        <v>119</v>
      </c>
      <c r="J304" t="s">
        <v>19</v>
      </c>
      <c r="K304" t="s">
        <v>20</v>
      </c>
      <c r="L304" t="s">
        <v>69</v>
      </c>
      <c r="M304" t="s">
        <v>1320</v>
      </c>
      <c r="N304">
        <v>45942.54</v>
      </c>
    </row>
    <row r="305" spans="1:14" ht="14.5" customHeight="1" x14ac:dyDescent="0.35">
      <c r="A305" t="s">
        <v>1354</v>
      </c>
      <c r="B305" t="s">
        <v>1355</v>
      </c>
      <c r="C305">
        <v>40</v>
      </c>
      <c r="D305" t="s">
        <v>52</v>
      </c>
      <c r="E305" t="s">
        <v>84</v>
      </c>
      <c r="F305" t="s">
        <v>17</v>
      </c>
      <c r="G305" t="s">
        <v>208</v>
      </c>
      <c r="H305">
        <v>184.6</v>
      </c>
      <c r="I305">
        <v>41</v>
      </c>
      <c r="J305" t="s">
        <v>19</v>
      </c>
      <c r="K305" t="s">
        <v>20</v>
      </c>
      <c r="L305" t="s">
        <v>175</v>
      </c>
      <c r="M305" t="s">
        <v>1356</v>
      </c>
      <c r="N305">
        <v>17518.900000000001</v>
      </c>
    </row>
    <row r="306" spans="1:14" ht="14.5" customHeight="1" x14ac:dyDescent="0.35">
      <c r="A306" t="s">
        <v>1362</v>
      </c>
      <c r="B306" t="s">
        <v>1363</v>
      </c>
      <c r="C306">
        <v>40</v>
      </c>
      <c r="D306" t="s">
        <v>138</v>
      </c>
      <c r="E306" t="s">
        <v>16</v>
      </c>
      <c r="F306" t="s">
        <v>273</v>
      </c>
      <c r="G306" t="s">
        <v>102</v>
      </c>
      <c r="H306">
        <v>189.8</v>
      </c>
      <c r="I306">
        <v>107.5</v>
      </c>
      <c r="J306" t="s">
        <v>36</v>
      </c>
      <c r="L306" t="s">
        <v>21</v>
      </c>
      <c r="M306" t="s">
        <v>1364</v>
      </c>
      <c r="N306">
        <v>29358.74</v>
      </c>
    </row>
    <row r="307" spans="1:14" ht="14.5" customHeight="1" x14ac:dyDescent="0.35">
      <c r="A307" t="s">
        <v>1420</v>
      </c>
      <c r="B307" t="s">
        <v>1421</v>
      </c>
      <c r="C307">
        <v>40</v>
      </c>
      <c r="D307" t="s">
        <v>138</v>
      </c>
      <c r="E307" t="s">
        <v>230</v>
      </c>
      <c r="F307" t="s">
        <v>17</v>
      </c>
      <c r="G307" t="s">
        <v>35</v>
      </c>
      <c r="H307">
        <v>162.30000000000001</v>
      </c>
      <c r="I307">
        <v>74.7</v>
      </c>
      <c r="J307" t="s">
        <v>36</v>
      </c>
      <c r="K307" t="s">
        <v>142</v>
      </c>
      <c r="L307" t="s">
        <v>226</v>
      </c>
      <c r="M307" t="s">
        <v>1422</v>
      </c>
      <c r="N307">
        <v>3897.65</v>
      </c>
    </row>
    <row r="308" spans="1:14" ht="14.5" customHeight="1" x14ac:dyDescent="0.35">
      <c r="A308" t="s">
        <v>576</v>
      </c>
      <c r="B308" t="s">
        <v>577</v>
      </c>
      <c r="C308">
        <v>39</v>
      </c>
      <c r="D308" t="s">
        <v>138</v>
      </c>
      <c r="E308" t="s">
        <v>24</v>
      </c>
      <c r="F308" t="s">
        <v>36</v>
      </c>
      <c r="G308" t="s">
        <v>198</v>
      </c>
      <c r="H308">
        <v>999</v>
      </c>
      <c r="I308">
        <v>77</v>
      </c>
      <c r="K308" t="s">
        <v>95</v>
      </c>
      <c r="L308" t="s">
        <v>48</v>
      </c>
      <c r="M308" t="s">
        <v>578</v>
      </c>
      <c r="N308">
        <v>12596.21</v>
      </c>
    </row>
    <row r="309" spans="1:14" ht="14.5" customHeight="1" x14ac:dyDescent="0.35">
      <c r="A309" t="s">
        <v>629</v>
      </c>
      <c r="B309" t="s">
        <v>630</v>
      </c>
      <c r="C309">
        <v>39</v>
      </c>
      <c r="D309" t="s">
        <v>52</v>
      </c>
      <c r="E309" t="s">
        <v>89</v>
      </c>
      <c r="F309" t="s">
        <v>79</v>
      </c>
      <c r="G309" t="s">
        <v>90</v>
      </c>
      <c r="H309">
        <v>171</v>
      </c>
      <c r="I309">
        <v>109</v>
      </c>
      <c r="J309" t="s">
        <v>95</v>
      </c>
      <c r="K309" t="s">
        <v>46</v>
      </c>
      <c r="L309" t="s">
        <v>107</v>
      </c>
      <c r="M309" t="s">
        <v>631</v>
      </c>
      <c r="N309">
        <v>31122.2</v>
      </c>
    </row>
    <row r="310" spans="1:14" ht="14.5" customHeight="1" x14ac:dyDescent="0.35">
      <c r="A310" t="s">
        <v>815</v>
      </c>
      <c r="B310" t="s">
        <v>2458</v>
      </c>
      <c r="C310">
        <v>39</v>
      </c>
      <c r="D310" t="s">
        <v>29</v>
      </c>
      <c r="E310" t="s">
        <v>45</v>
      </c>
      <c r="F310" t="s">
        <v>17</v>
      </c>
      <c r="G310" t="s">
        <v>417</v>
      </c>
      <c r="H310">
        <v>173.2</v>
      </c>
      <c r="I310">
        <v>94.4</v>
      </c>
      <c r="J310" t="s">
        <v>20</v>
      </c>
      <c r="L310" t="s">
        <v>143</v>
      </c>
      <c r="M310" t="s">
        <v>816</v>
      </c>
      <c r="N310">
        <v>24682.33</v>
      </c>
    </row>
    <row r="311" spans="1:14" ht="14.5" customHeight="1" x14ac:dyDescent="0.35">
      <c r="A311" t="s">
        <v>819</v>
      </c>
      <c r="B311" t="s">
        <v>820</v>
      </c>
      <c r="C311">
        <v>39</v>
      </c>
      <c r="D311" t="s">
        <v>29</v>
      </c>
      <c r="E311" t="s">
        <v>119</v>
      </c>
      <c r="F311" t="s">
        <v>120</v>
      </c>
      <c r="G311" t="s">
        <v>60</v>
      </c>
      <c r="H311">
        <v>169</v>
      </c>
      <c r="I311">
        <v>122</v>
      </c>
      <c r="K311" t="s">
        <v>30</v>
      </c>
      <c r="L311" t="s">
        <v>26</v>
      </c>
      <c r="M311" t="s">
        <v>821</v>
      </c>
      <c r="N311">
        <v>47311.519999999997</v>
      </c>
    </row>
    <row r="312" spans="1:14" ht="14.5" customHeight="1" x14ac:dyDescent="0.35">
      <c r="A312" t="s">
        <v>835</v>
      </c>
      <c r="B312" t="s">
        <v>2445</v>
      </c>
      <c r="C312">
        <v>39</v>
      </c>
      <c r="D312" t="s">
        <v>29</v>
      </c>
      <c r="E312" t="s">
        <v>230</v>
      </c>
      <c r="F312" t="s">
        <v>17</v>
      </c>
      <c r="G312" t="s">
        <v>60</v>
      </c>
      <c r="H312">
        <v>191</v>
      </c>
      <c r="I312">
        <v>84</v>
      </c>
      <c r="J312" t="s">
        <v>95</v>
      </c>
      <c r="K312" t="s">
        <v>47</v>
      </c>
      <c r="L312" t="s">
        <v>69</v>
      </c>
      <c r="M312" t="s">
        <v>327</v>
      </c>
      <c r="N312">
        <v>36494.86</v>
      </c>
    </row>
    <row r="313" spans="1:14" ht="14.5" customHeight="1" x14ac:dyDescent="0.35">
      <c r="A313" t="s">
        <v>996</v>
      </c>
      <c r="B313" t="s">
        <v>744</v>
      </c>
      <c r="C313">
        <v>39</v>
      </c>
      <c r="D313" t="s">
        <v>52</v>
      </c>
      <c r="E313" t="s">
        <v>230</v>
      </c>
      <c r="F313" t="s">
        <v>2518</v>
      </c>
      <c r="G313" t="s">
        <v>74</v>
      </c>
      <c r="H313">
        <v>175</v>
      </c>
      <c r="I313">
        <v>74.5</v>
      </c>
      <c r="J313" t="s">
        <v>20</v>
      </c>
      <c r="L313" t="s">
        <v>96</v>
      </c>
      <c r="M313" t="s">
        <v>997</v>
      </c>
      <c r="N313">
        <v>28576.95</v>
      </c>
    </row>
    <row r="314" spans="1:14" ht="14.5" customHeight="1" x14ac:dyDescent="0.35">
      <c r="A314" t="s">
        <v>1009</v>
      </c>
      <c r="B314" t="s">
        <v>1010</v>
      </c>
      <c r="C314">
        <v>39</v>
      </c>
      <c r="D314" t="s">
        <v>138</v>
      </c>
      <c r="E314" t="s">
        <v>111</v>
      </c>
      <c r="F314" t="s">
        <v>17</v>
      </c>
      <c r="G314" t="s">
        <v>102</v>
      </c>
      <c r="H314">
        <v>187.5</v>
      </c>
      <c r="I314">
        <v>88</v>
      </c>
      <c r="K314" t="s">
        <v>47</v>
      </c>
      <c r="L314" t="s">
        <v>31</v>
      </c>
      <c r="M314" t="s">
        <v>1011</v>
      </c>
      <c r="N314">
        <v>31405.8</v>
      </c>
    </row>
    <row r="315" spans="1:14" ht="14.5" customHeight="1" x14ac:dyDescent="0.35">
      <c r="A315" t="s">
        <v>1423</v>
      </c>
      <c r="B315" t="s">
        <v>1424</v>
      </c>
      <c r="C315">
        <v>39</v>
      </c>
      <c r="D315" t="s">
        <v>138</v>
      </c>
      <c r="E315" t="s">
        <v>217</v>
      </c>
      <c r="F315" t="s">
        <v>134</v>
      </c>
      <c r="G315" t="s">
        <v>295</v>
      </c>
      <c r="H315">
        <v>162.1</v>
      </c>
      <c r="I315">
        <v>86</v>
      </c>
      <c r="J315" t="s">
        <v>19</v>
      </c>
      <c r="L315" t="s">
        <v>26</v>
      </c>
      <c r="M315" t="s">
        <v>1425</v>
      </c>
    </row>
    <row r="316" spans="1:14" ht="14.5" customHeight="1" x14ac:dyDescent="0.35">
      <c r="A316" t="s">
        <v>377</v>
      </c>
      <c r="B316" t="s">
        <v>2426</v>
      </c>
      <c r="C316">
        <v>38</v>
      </c>
      <c r="D316" t="s">
        <v>29</v>
      </c>
      <c r="E316" t="s">
        <v>24</v>
      </c>
      <c r="F316" t="s">
        <v>79</v>
      </c>
      <c r="G316" t="s">
        <v>74</v>
      </c>
      <c r="H316">
        <v>0</v>
      </c>
      <c r="I316">
        <v>129</v>
      </c>
      <c r="J316" t="s">
        <v>95</v>
      </c>
      <c r="K316" t="s">
        <v>142</v>
      </c>
      <c r="L316" t="s">
        <v>31</v>
      </c>
      <c r="M316" t="s">
        <v>378</v>
      </c>
      <c r="N316">
        <v>40536.29</v>
      </c>
    </row>
    <row r="317" spans="1:14" ht="14.5" customHeight="1" x14ac:dyDescent="0.35">
      <c r="A317" t="s">
        <v>1015</v>
      </c>
      <c r="B317" t="s">
        <v>2471</v>
      </c>
      <c r="C317">
        <v>38</v>
      </c>
      <c r="D317" t="s">
        <v>138</v>
      </c>
      <c r="E317" t="s">
        <v>45</v>
      </c>
      <c r="F317" t="s">
        <v>17</v>
      </c>
      <c r="G317" t="s">
        <v>18</v>
      </c>
      <c r="H317">
        <v>192</v>
      </c>
      <c r="I317">
        <v>46.8</v>
      </c>
      <c r="J317" t="s">
        <v>19</v>
      </c>
      <c r="K317" t="s">
        <v>20</v>
      </c>
      <c r="L317" t="s">
        <v>69</v>
      </c>
      <c r="M317" t="s">
        <v>1016</v>
      </c>
      <c r="N317">
        <v>41016.32</v>
      </c>
    </row>
    <row r="318" spans="1:14" ht="14.5" customHeight="1" x14ac:dyDescent="0.35">
      <c r="A318" t="s">
        <v>1403</v>
      </c>
      <c r="B318" t="s">
        <v>2507</v>
      </c>
      <c r="C318">
        <v>38</v>
      </c>
      <c r="D318" t="s">
        <v>52</v>
      </c>
      <c r="E318" t="s">
        <v>146</v>
      </c>
      <c r="F318" t="s">
        <v>2518</v>
      </c>
      <c r="G318" t="s">
        <v>90</v>
      </c>
      <c r="H318">
        <v>150.9</v>
      </c>
      <c r="I318">
        <v>86</v>
      </c>
      <c r="J318" t="s">
        <v>41</v>
      </c>
      <c r="L318" t="s">
        <v>26</v>
      </c>
      <c r="M318" t="s">
        <v>164</v>
      </c>
      <c r="N318">
        <v>-24133.98</v>
      </c>
    </row>
    <row r="319" spans="1:14" ht="14.5" customHeight="1" x14ac:dyDescent="0.35">
      <c r="A319" t="s">
        <v>1404</v>
      </c>
      <c r="B319" t="s">
        <v>1405</v>
      </c>
      <c r="C319">
        <v>38</v>
      </c>
      <c r="D319" t="s">
        <v>138</v>
      </c>
      <c r="E319" t="s">
        <v>111</v>
      </c>
      <c r="F319" t="s">
        <v>36</v>
      </c>
      <c r="G319" t="s">
        <v>90</v>
      </c>
      <c r="H319">
        <v>180</v>
      </c>
      <c r="I319">
        <v>122</v>
      </c>
      <c r="J319" t="s">
        <v>85</v>
      </c>
      <c r="K319" t="s">
        <v>62</v>
      </c>
      <c r="L319" t="s">
        <v>42</v>
      </c>
      <c r="M319" t="s">
        <v>1406</v>
      </c>
      <c r="N319">
        <v>43584.65</v>
      </c>
    </row>
    <row r="320" spans="1:14" ht="14.5" customHeight="1" x14ac:dyDescent="0.35">
      <c r="A320" t="s">
        <v>1438</v>
      </c>
      <c r="B320" t="s">
        <v>1439</v>
      </c>
      <c r="C320">
        <v>38</v>
      </c>
      <c r="D320" t="s">
        <v>52</v>
      </c>
      <c r="E320" t="s">
        <v>78</v>
      </c>
      <c r="F320" t="s">
        <v>17</v>
      </c>
      <c r="G320" t="s">
        <v>25</v>
      </c>
      <c r="H320">
        <v>189.8</v>
      </c>
      <c r="I320">
        <v>104.5</v>
      </c>
      <c r="J320" t="s">
        <v>65</v>
      </c>
      <c r="K320" t="s">
        <v>85</v>
      </c>
      <c r="L320" t="s">
        <v>96</v>
      </c>
      <c r="M320" t="s">
        <v>1440</v>
      </c>
      <c r="N320">
        <v>6476.92</v>
      </c>
    </row>
    <row r="321" spans="1:14" ht="14.5" customHeight="1" x14ac:dyDescent="0.35">
      <c r="A321" t="s">
        <v>910</v>
      </c>
      <c r="B321" t="s">
        <v>246</v>
      </c>
      <c r="C321">
        <v>37</v>
      </c>
      <c r="D321" t="s">
        <v>138</v>
      </c>
      <c r="E321" t="s">
        <v>24</v>
      </c>
      <c r="F321" t="s">
        <v>36</v>
      </c>
      <c r="G321" t="s">
        <v>191</v>
      </c>
      <c r="H321">
        <v>1.72</v>
      </c>
      <c r="I321">
        <v>99.8</v>
      </c>
      <c r="J321" t="s">
        <v>94</v>
      </c>
      <c r="K321" t="s">
        <v>85</v>
      </c>
      <c r="L321" t="s">
        <v>26</v>
      </c>
      <c r="M321" t="s">
        <v>911</v>
      </c>
      <c r="N321">
        <v>22965.98</v>
      </c>
    </row>
    <row r="322" spans="1:14" ht="14.5" customHeight="1" x14ac:dyDescent="0.35">
      <c r="A322" t="s">
        <v>222</v>
      </c>
      <c r="B322" t="s">
        <v>223</v>
      </c>
      <c r="C322">
        <v>36</v>
      </c>
      <c r="D322" t="s">
        <v>29</v>
      </c>
      <c r="E322" t="s">
        <v>16</v>
      </c>
      <c r="F322" t="s">
        <v>17</v>
      </c>
      <c r="G322" t="s">
        <v>112</v>
      </c>
      <c r="H322">
        <v>157.4</v>
      </c>
      <c r="I322">
        <v>99</v>
      </c>
      <c r="K322" t="s">
        <v>142</v>
      </c>
      <c r="L322" t="s">
        <v>199</v>
      </c>
      <c r="M322" t="s">
        <v>224</v>
      </c>
      <c r="N322">
        <v>16208.05</v>
      </c>
    </row>
    <row r="323" spans="1:14" ht="14.5" customHeight="1" x14ac:dyDescent="0.35">
      <c r="A323" t="s">
        <v>379</v>
      </c>
      <c r="B323" t="s">
        <v>380</v>
      </c>
      <c r="C323">
        <v>36</v>
      </c>
      <c r="D323" t="s">
        <v>138</v>
      </c>
      <c r="E323" t="s">
        <v>78</v>
      </c>
      <c r="F323" t="s">
        <v>79</v>
      </c>
      <c r="G323" t="s">
        <v>160</v>
      </c>
      <c r="H323">
        <v>147.30000000000001</v>
      </c>
      <c r="I323">
        <v>100</v>
      </c>
      <c r="L323" t="s">
        <v>175</v>
      </c>
      <c r="M323" t="s">
        <v>381</v>
      </c>
      <c r="N323">
        <v>3112.33</v>
      </c>
    </row>
    <row r="324" spans="1:14" ht="14.5" customHeight="1" x14ac:dyDescent="0.35">
      <c r="A324" t="s">
        <v>648</v>
      </c>
      <c r="B324" t="s">
        <v>649</v>
      </c>
      <c r="C324">
        <v>36</v>
      </c>
      <c r="D324" t="s">
        <v>138</v>
      </c>
      <c r="E324" t="s">
        <v>89</v>
      </c>
      <c r="F324" t="s">
        <v>17</v>
      </c>
      <c r="G324" t="s">
        <v>35</v>
      </c>
      <c r="H324">
        <v>154.1</v>
      </c>
      <c r="J324" t="s">
        <v>85</v>
      </c>
      <c r="K324" t="s">
        <v>85</v>
      </c>
      <c r="L324" t="s">
        <v>199</v>
      </c>
      <c r="M324" t="s">
        <v>650</v>
      </c>
      <c r="N324">
        <v>47317.84</v>
      </c>
    </row>
    <row r="325" spans="1:14" ht="14.5" customHeight="1" x14ac:dyDescent="0.35">
      <c r="A325" t="s">
        <v>951</v>
      </c>
      <c r="B325" t="s">
        <v>952</v>
      </c>
      <c r="C325">
        <v>36</v>
      </c>
      <c r="D325" t="s">
        <v>29</v>
      </c>
      <c r="E325" t="s">
        <v>217</v>
      </c>
      <c r="F325" t="s">
        <v>79</v>
      </c>
      <c r="G325" t="s">
        <v>102</v>
      </c>
      <c r="H325">
        <v>147</v>
      </c>
      <c r="I325">
        <v>98</v>
      </c>
      <c r="J325" t="s">
        <v>65</v>
      </c>
      <c r="K325" t="s">
        <v>30</v>
      </c>
      <c r="L325" t="s">
        <v>21</v>
      </c>
      <c r="M325" t="s">
        <v>953</v>
      </c>
      <c r="N325">
        <v>11213.85</v>
      </c>
    </row>
    <row r="326" spans="1:14" ht="14.5" customHeight="1" x14ac:dyDescent="0.35">
      <c r="A326" t="s">
        <v>1006</v>
      </c>
      <c r="B326" t="s">
        <v>1007</v>
      </c>
      <c r="C326">
        <v>36</v>
      </c>
      <c r="D326" t="s">
        <v>138</v>
      </c>
      <c r="E326" t="s">
        <v>119</v>
      </c>
      <c r="F326" t="s">
        <v>2518</v>
      </c>
      <c r="G326" t="s">
        <v>60</v>
      </c>
      <c r="H326">
        <v>999</v>
      </c>
      <c r="I326">
        <v>86</v>
      </c>
      <c r="J326" t="s">
        <v>61</v>
      </c>
      <c r="K326" t="s">
        <v>85</v>
      </c>
      <c r="L326" t="s">
        <v>48</v>
      </c>
      <c r="M326" t="s">
        <v>1008</v>
      </c>
      <c r="N326">
        <v>47857.11</v>
      </c>
    </row>
    <row r="327" spans="1:14" ht="14.5" customHeight="1" x14ac:dyDescent="0.35">
      <c r="A327" t="s">
        <v>1243</v>
      </c>
      <c r="B327" t="s">
        <v>2449</v>
      </c>
      <c r="C327">
        <v>36</v>
      </c>
      <c r="D327" t="s">
        <v>29</v>
      </c>
      <c r="E327" t="s">
        <v>89</v>
      </c>
      <c r="F327" t="s">
        <v>273</v>
      </c>
      <c r="G327" t="s">
        <v>417</v>
      </c>
      <c r="H327">
        <v>185</v>
      </c>
      <c r="I327">
        <v>122</v>
      </c>
      <c r="K327" t="s">
        <v>62</v>
      </c>
      <c r="L327" t="s">
        <v>48</v>
      </c>
      <c r="M327" t="s">
        <v>1244</v>
      </c>
      <c r="N327">
        <v>39235.120000000003</v>
      </c>
    </row>
    <row r="328" spans="1:14" ht="14.5" customHeight="1" x14ac:dyDescent="0.35">
      <c r="A328" t="s">
        <v>1346</v>
      </c>
      <c r="B328" t="s">
        <v>1347</v>
      </c>
      <c r="C328">
        <v>36</v>
      </c>
      <c r="D328" t="s">
        <v>138</v>
      </c>
      <c r="E328" t="s">
        <v>16</v>
      </c>
      <c r="F328" t="s">
        <v>134</v>
      </c>
      <c r="G328" t="s">
        <v>35</v>
      </c>
      <c r="H328">
        <v>1.8</v>
      </c>
      <c r="I328">
        <v>68.900000000000006</v>
      </c>
      <c r="J328" t="s">
        <v>36</v>
      </c>
      <c r="L328" t="s">
        <v>26</v>
      </c>
      <c r="M328" t="s">
        <v>1348</v>
      </c>
      <c r="N328">
        <v>10963.83</v>
      </c>
    </row>
    <row r="329" spans="1:14" ht="14.5" customHeight="1" x14ac:dyDescent="0.35">
      <c r="A329" t="s">
        <v>232</v>
      </c>
      <c r="B329" t="s">
        <v>233</v>
      </c>
      <c r="C329">
        <v>35</v>
      </c>
      <c r="D329" t="s">
        <v>29</v>
      </c>
      <c r="E329" t="s">
        <v>73</v>
      </c>
      <c r="F329" t="s">
        <v>273</v>
      </c>
      <c r="G329" t="s">
        <v>25</v>
      </c>
      <c r="H329">
        <v>186.1</v>
      </c>
      <c r="J329" t="s">
        <v>95</v>
      </c>
      <c r="K329" t="s">
        <v>30</v>
      </c>
      <c r="L329" t="s">
        <v>143</v>
      </c>
      <c r="M329" t="s">
        <v>234</v>
      </c>
      <c r="N329">
        <v>7522.8</v>
      </c>
    </row>
    <row r="330" spans="1:14" ht="14.5" customHeight="1" x14ac:dyDescent="0.35">
      <c r="A330" t="s">
        <v>271</v>
      </c>
      <c r="B330" t="s">
        <v>272</v>
      </c>
      <c r="C330">
        <v>35</v>
      </c>
      <c r="D330" t="s">
        <v>29</v>
      </c>
      <c r="E330" t="s">
        <v>217</v>
      </c>
      <c r="F330" t="s">
        <v>273</v>
      </c>
      <c r="G330" t="s">
        <v>35</v>
      </c>
      <c r="H330">
        <v>166.8</v>
      </c>
      <c r="I330">
        <v>52</v>
      </c>
      <c r="J330" t="s">
        <v>36</v>
      </c>
      <c r="K330" t="s">
        <v>19</v>
      </c>
      <c r="L330" t="s">
        <v>226</v>
      </c>
      <c r="M330" t="s">
        <v>274</v>
      </c>
      <c r="N330">
        <v>40351.74</v>
      </c>
    </row>
    <row r="331" spans="1:14" ht="14.5" customHeight="1" x14ac:dyDescent="0.35">
      <c r="A331" t="s">
        <v>336</v>
      </c>
      <c r="B331" t="s">
        <v>2421</v>
      </c>
      <c r="C331">
        <v>35</v>
      </c>
      <c r="D331" t="s">
        <v>138</v>
      </c>
      <c r="E331" t="s">
        <v>45</v>
      </c>
      <c r="F331" t="s">
        <v>273</v>
      </c>
      <c r="G331" t="s">
        <v>102</v>
      </c>
      <c r="H331">
        <v>193</v>
      </c>
      <c r="I331">
        <v>128</v>
      </c>
      <c r="J331" t="s">
        <v>94</v>
      </c>
      <c r="K331" t="s">
        <v>62</v>
      </c>
      <c r="L331" t="s">
        <v>175</v>
      </c>
      <c r="M331" t="s">
        <v>301</v>
      </c>
      <c r="N331">
        <v>25230.7</v>
      </c>
    </row>
    <row r="332" spans="1:14" ht="14.5" customHeight="1" x14ac:dyDescent="0.35">
      <c r="A332" t="s">
        <v>567</v>
      </c>
      <c r="B332" t="s">
        <v>637</v>
      </c>
      <c r="C332">
        <v>35</v>
      </c>
      <c r="D332" t="s">
        <v>29</v>
      </c>
      <c r="E332" t="s">
        <v>89</v>
      </c>
      <c r="F332" t="s">
        <v>17</v>
      </c>
      <c r="G332" t="s">
        <v>102</v>
      </c>
      <c r="H332">
        <v>184.7</v>
      </c>
      <c r="I332">
        <v>76</v>
      </c>
      <c r="J332" t="s">
        <v>61</v>
      </c>
      <c r="K332" t="s">
        <v>20</v>
      </c>
      <c r="L332" t="s">
        <v>69</v>
      </c>
      <c r="M332" t="s">
        <v>638</v>
      </c>
      <c r="N332">
        <v>40989.839999999997</v>
      </c>
    </row>
    <row r="333" spans="1:14" ht="14.5" customHeight="1" x14ac:dyDescent="0.35">
      <c r="A333" t="s">
        <v>713</v>
      </c>
      <c r="B333" t="s">
        <v>516</v>
      </c>
      <c r="C333">
        <v>35</v>
      </c>
      <c r="D333" t="s">
        <v>29</v>
      </c>
      <c r="E333" t="s">
        <v>24</v>
      </c>
      <c r="F333" t="s">
        <v>273</v>
      </c>
      <c r="G333" t="s">
        <v>36</v>
      </c>
      <c r="H333">
        <v>159.4</v>
      </c>
      <c r="I333">
        <v>114</v>
      </c>
      <c r="J333" t="s">
        <v>20</v>
      </c>
      <c r="K333" t="s">
        <v>95</v>
      </c>
      <c r="L333" t="s">
        <v>31</v>
      </c>
      <c r="M333" t="s">
        <v>714</v>
      </c>
      <c r="N333">
        <v>15715.56</v>
      </c>
    </row>
    <row r="334" spans="1:14" ht="14.5" customHeight="1" x14ac:dyDescent="0.35">
      <c r="A334" t="s">
        <v>795</v>
      </c>
      <c r="B334" t="s">
        <v>796</v>
      </c>
      <c r="C334">
        <v>35</v>
      </c>
      <c r="D334" t="s">
        <v>138</v>
      </c>
      <c r="E334" t="s">
        <v>111</v>
      </c>
      <c r="F334" t="s">
        <v>2517</v>
      </c>
      <c r="G334" t="s">
        <v>102</v>
      </c>
      <c r="H334">
        <v>169</v>
      </c>
      <c r="I334">
        <v>92</v>
      </c>
      <c r="J334" t="s">
        <v>61</v>
      </c>
      <c r="K334" t="s">
        <v>20</v>
      </c>
      <c r="L334" t="s">
        <v>42</v>
      </c>
      <c r="M334" t="s">
        <v>797</v>
      </c>
      <c r="N334">
        <v>30732.19</v>
      </c>
    </row>
    <row r="335" spans="1:14" ht="14.5" customHeight="1" x14ac:dyDescent="0.35">
      <c r="A335" t="s">
        <v>893</v>
      </c>
      <c r="B335" t="s">
        <v>361</v>
      </c>
      <c r="C335">
        <v>35</v>
      </c>
      <c r="D335" t="s">
        <v>29</v>
      </c>
      <c r="E335" t="s">
        <v>217</v>
      </c>
      <c r="F335" t="s">
        <v>2518</v>
      </c>
      <c r="G335" t="s">
        <v>60</v>
      </c>
      <c r="H335">
        <v>190.3</v>
      </c>
      <c r="I335">
        <v>107.5</v>
      </c>
      <c r="J335" t="s">
        <v>94</v>
      </c>
      <c r="K335" t="s">
        <v>62</v>
      </c>
      <c r="L335" t="s">
        <v>48</v>
      </c>
      <c r="M335" t="s">
        <v>894</v>
      </c>
      <c r="N335">
        <v>5110.51</v>
      </c>
    </row>
    <row r="336" spans="1:14" ht="14.5" customHeight="1" x14ac:dyDescent="0.35">
      <c r="A336" t="s">
        <v>915</v>
      </c>
      <c r="B336" t="s">
        <v>916</v>
      </c>
      <c r="C336">
        <v>35</v>
      </c>
      <c r="D336" t="s">
        <v>52</v>
      </c>
      <c r="E336" t="s">
        <v>24</v>
      </c>
      <c r="F336" t="s">
        <v>17</v>
      </c>
      <c r="G336" t="s">
        <v>74</v>
      </c>
      <c r="H336">
        <v>160</v>
      </c>
      <c r="I336">
        <v>125.7</v>
      </c>
      <c r="J336" t="s">
        <v>61</v>
      </c>
      <c r="K336" t="s">
        <v>30</v>
      </c>
      <c r="L336" t="s">
        <v>107</v>
      </c>
      <c r="M336" t="s">
        <v>917</v>
      </c>
      <c r="N336">
        <v>10925.55</v>
      </c>
    </row>
    <row r="337" spans="1:14" ht="14.5" customHeight="1" x14ac:dyDescent="0.35">
      <c r="A337" t="s">
        <v>411</v>
      </c>
      <c r="B337" t="s">
        <v>412</v>
      </c>
      <c r="C337">
        <v>34</v>
      </c>
      <c r="D337" t="s">
        <v>52</v>
      </c>
      <c r="E337" t="s">
        <v>59</v>
      </c>
      <c r="F337" t="s">
        <v>2517</v>
      </c>
      <c r="G337" t="s">
        <v>35</v>
      </c>
      <c r="H337">
        <v>1.65</v>
      </c>
      <c r="I337">
        <v>58</v>
      </c>
      <c r="K337" t="s">
        <v>47</v>
      </c>
      <c r="L337" t="s">
        <v>175</v>
      </c>
      <c r="M337" t="s">
        <v>413</v>
      </c>
      <c r="N337">
        <v>3176.07</v>
      </c>
    </row>
    <row r="338" spans="1:14" ht="14.5" customHeight="1" x14ac:dyDescent="0.35">
      <c r="A338" t="s">
        <v>809</v>
      </c>
      <c r="B338" t="s">
        <v>2455</v>
      </c>
      <c r="C338">
        <v>34</v>
      </c>
      <c r="D338" t="s">
        <v>29</v>
      </c>
      <c r="E338" t="s">
        <v>45</v>
      </c>
      <c r="F338" t="s">
        <v>2517</v>
      </c>
      <c r="G338" t="s">
        <v>54</v>
      </c>
      <c r="H338">
        <v>182</v>
      </c>
      <c r="I338">
        <v>88</v>
      </c>
      <c r="K338" t="s">
        <v>30</v>
      </c>
      <c r="L338" t="s">
        <v>69</v>
      </c>
      <c r="M338" t="s">
        <v>810</v>
      </c>
      <c r="N338">
        <v>46438.36</v>
      </c>
    </row>
    <row r="339" spans="1:14" ht="14.5" customHeight="1" x14ac:dyDescent="0.35">
      <c r="A339" t="s">
        <v>492</v>
      </c>
      <c r="B339" t="s">
        <v>493</v>
      </c>
      <c r="C339">
        <v>33</v>
      </c>
      <c r="D339" t="s">
        <v>29</v>
      </c>
      <c r="E339" t="s">
        <v>230</v>
      </c>
      <c r="F339" t="s">
        <v>79</v>
      </c>
      <c r="G339" t="s">
        <v>54</v>
      </c>
      <c r="H339">
        <v>177</v>
      </c>
      <c r="I339">
        <v>100.1</v>
      </c>
      <c r="J339" t="s">
        <v>85</v>
      </c>
      <c r="K339" t="s">
        <v>95</v>
      </c>
      <c r="L339" t="s">
        <v>42</v>
      </c>
      <c r="M339" t="s">
        <v>494</v>
      </c>
      <c r="N339">
        <v>38966.74</v>
      </c>
    </row>
    <row r="340" spans="1:14" ht="14.5" customHeight="1" x14ac:dyDescent="0.35">
      <c r="A340" t="s">
        <v>537</v>
      </c>
      <c r="B340" t="s">
        <v>538</v>
      </c>
      <c r="C340">
        <v>33</v>
      </c>
      <c r="D340" t="s">
        <v>29</v>
      </c>
      <c r="E340" t="s">
        <v>89</v>
      </c>
      <c r="F340" t="s">
        <v>17</v>
      </c>
      <c r="G340" t="s">
        <v>80</v>
      </c>
      <c r="H340">
        <v>175.2</v>
      </c>
      <c r="I340">
        <v>91.8</v>
      </c>
      <c r="J340" t="s">
        <v>41</v>
      </c>
      <c r="K340" t="s">
        <v>30</v>
      </c>
      <c r="L340" t="s">
        <v>69</v>
      </c>
      <c r="M340" t="s">
        <v>539</v>
      </c>
      <c r="N340">
        <v>23813.45</v>
      </c>
    </row>
    <row r="341" spans="1:14" ht="14.5" customHeight="1" x14ac:dyDescent="0.35">
      <c r="A341" t="s">
        <v>1268</v>
      </c>
      <c r="B341" t="s">
        <v>2493</v>
      </c>
      <c r="C341">
        <v>33</v>
      </c>
      <c r="D341" t="s">
        <v>29</v>
      </c>
      <c r="E341" t="s">
        <v>45</v>
      </c>
      <c r="F341" t="s">
        <v>17</v>
      </c>
      <c r="G341" t="s">
        <v>280</v>
      </c>
      <c r="H341">
        <v>150.80000000000001</v>
      </c>
      <c r="I341">
        <v>69</v>
      </c>
      <c r="K341" t="s">
        <v>19</v>
      </c>
      <c r="L341" t="s">
        <v>107</v>
      </c>
      <c r="M341" t="s">
        <v>1269</v>
      </c>
      <c r="N341">
        <v>16342.05</v>
      </c>
    </row>
    <row r="342" spans="1:14" ht="14.5" customHeight="1" x14ac:dyDescent="0.35">
      <c r="A342" t="s">
        <v>354</v>
      </c>
      <c r="B342" t="s">
        <v>355</v>
      </c>
      <c r="C342">
        <v>32</v>
      </c>
      <c r="D342" t="s">
        <v>52</v>
      </c>
      <c r="E342" t="s">
        <v>217</v>
      </c>
      <c r="F342" t="s">
        <v>120</v>
      </c>
      <c r="G342" t="s">
        <v>90</v>
      </c>
      <c r="H342">
        <v>147.30000000000001</v>
      </c>
      <c r="I342">
        <v>62</v>
      </c>
      <c r="J342" t="s">
        <v>20</v>
      </c>
      <c r="K342" t="s">
        <v>62</v>
      </c>
      <c r="L342" t="s">
        <v>143</v>
      </c>
      <c r="M342" t="s">
        <v>356</v>
      </c>
    </row>
    <row r="343" spans="1:14" ht="14.5" customHeight="1" x14ac:dyDescent="0.35">
      <c r="A343" t="s">
        <v>711</v>
      </c>
      <c r="B343" t="s">
        <v>458</v>
      </c>
      <c r="C343">
        <v>32</v>
      </c>
      <c r="D343" t="s">
        <v>29</v>
      </c>
      <c r="E343" t="s">
        <v>24</v>
      </c>
      <c r="F343" t="s">
        <v>2517</v>
      </c>
      <c r="G343" t="s">
        <v>191</v>
      </c>
      <c r="H343">
        <v>183</v>
      </c>
      <c r="I343">
        <v>63.2</v>
      </c>
      <c r="K343" t="s">
        <v>20</v>
      </c>
      <c r="L343" t="s">
        <v>143</v>
      </c>
      <c r="M343" t="s">
        <v>712</v>
      </c>
      <c r="N343">
        <v>20915.09</v>
      </c>
    </row>
    <row r="344" spans="1:14" ht="14.5" customHeight="1" x14ac:dyDescent="0.35">
      <c r="A344" t="s">
        <v>754</v>
      </c>
      <c r="B344" t="s">
        <v>2450</v>
      </c>
      <c r="C344">
        <v>31</v>
      </c>
      <c r="D344" t="s">
        <v>138</v>
      </c>
      <c r="E344" t="s">
        <v>73</v>
      </c>
      <c r="F344" t="s">
        <v>79</v>
      </c>
      <c r="G344" t="s">
        <v>18</v>
      </c>
      <c r="H344">
        <v>178.8</v>
      </c>
      <c r="I344">
        <v>60</v>
      </c>
      <c r="J344" t="s">
        <v>94</v>
      </c>
      <c r="K344" t="s">
        <v>65</v>
      </c>
      <c r="L344" t="s">
        <v>143</v>
      </c>
      <c r="M344" t="s">
        <v>755</v>
      </c>
      <c r="N344">
        <v>46666.33</v>
      </c>
    </row>
    <row r="345" spans="1:14" ht="14.5" customHeight="1" x14ac:dyDescent="0.35">
      <c r="A345" t="s">
        <v>1282</v>
      </c>
      <c r="B345" t="s">
        <v>1283</v>
      </c>
      <c r="C345">
        <v>31</v>
      </c>
      <c r="D345" t="s">
        <v>29</v>
      </c>
      <c r="E345" t="s">
        <v>53</v>
      </c>
      <c r="F345" t="s">
        <v>17</v>
      </c>
      <c r="G345" t="s">
        <v>36</v>
      </c>
      <c r="H345">
        <v>146</v>
      </c>
      <c r="I345">
        <v>64</v>
      </c>
      <c r="J345" t="s">
        <v>20</v>
      </c>
      <c r="K345" t="s">
        <v>95</v>
      </c>
      <c r="L345" t="s">
        <v>42</v>
      </c>
      <c r="M345" t="s">
        <v>1284</v>
      </c>
      <c r="N345">
        <v>5730.06</v>
      </c>
    </row>
    <row r="346" spans="1:14" ht="14.5" customHeight="1" x14ac:dyDescent="0.35">
      <c r="A346" t="s">
        <v>1393</v>
      </c>
      <c r="B346" t="s">
        <v>2506</v>
      </c>
      <c r="C346">
        <v>31</v>
      </c>
      <c r="D346" t="s">
        <v>29</v>
      </c>
      <c r="E346" t="s">
        <v>119</v>
      </c>
      <c r="F346" t="s">
        <v>2518</v>
      </c>
      <c r="G346" t="s">
        <v>191</v>
      </c>
      <c r="H346">
        <v>191.1</v>
      </c>
      <c r="I346">
        <v>129.80000000000001</v>
      </c>
      <c r="J346" t="s">
        <v>41</v>
      </c>
      <c r="K346" t="s">
        <v>47</v>
      </c>
      <c r="L346" t="s">
        <v>103</v>
      </c>
      <c r="M346" t="s">
        <v>1394</v>
      </c>
      <c r="N346">
        <v>35549.410000000003</v>
      </c>
    </row>
    <row r="347" spans="1:14" ht="14.5" customHeight="1" x14ac:dyDescent="0.35">
      <c r="A347" t="s">
        <v>251</v>
      </c>
      <c r="B347" t="s">
        <v>252</v>
      </c>
      <c r="C347">
        <v>30</v>
      </c>
      <c r="D347" t="s">
        <v>29</v>
      </c>
      <c r="E347" t="s">
        <v>45</v>
      </c>
      <c r="F347" t="s">
        <v>17</v>
      </c>
      <c r="G347" t="s">
        <v>112</v>
      </c>
      <c r="H347">
        <v>186</v>
      </c>
      <c r="I347">
        <v>58</v>
      </c>
      <c r="J347" t="s">
        <v>65</v>
      </c>
      <c r="K347" t="s">
        <v>62</v>
      </c>
      <c r="L347" t="s">
        <v>96</v>
      </c>
      <c r="M347" t="s">
        <v>253</v>
      </c>
      <c r="N347">
        <v>44579.199999999997</v>
      </c>
    </row>
    <row r="348" spans="1:14" ht="14.5" customHeight="1" x14ac:dyDescent="0.35">
      <c r="A348" t="s">
        <v>623</v>
      </c>
      <c r="B348" t="s">
        <v>624</v>
      </c>
      <c r="C348">
        <v>30</v>
      </c>
      <c r="D348" t="s">
        <v>138</v>
      </c>
      <c r="E348" t="s">
        <v>217</v>
      </c>
      <c r="F348" t="s">
        <v>36</v>
      </c>
      <c r="G348" t="s">
        <v>35</v>
      </c>
      <c r="H348">
        <v>170</v>
      </c>
      <c r="I348">
        <v>106</v>
      </c>
      <c r="J348" t="s">
        <v>20</v>
      </c>
      <c r="K348" t="s">
        <v>46</v>
      </c>
      <c r="L348" t="s">
        <v>103</v>
      </c>
      <c r="M348" t="s">
        <v>625</v>
      </c>
      <c r="N348">
        <v>47339.49</v>
      </c>
    </row>
    <row r="349" spans="1:14" ht="14.5" customHeight="1" x14ac:dyDescent="0.35">
      <c r="A349" t="s">
        <v>884</v>
      </c>
      <c r="B349" t="s">
        <v>885</v>
      </c>
      <c r="C349">
        <v>30</v>
      </c>
      <c r="D349" t="s">
        <v>138</v>
      </c>
      <c r="E349" t="s">
        <v>45</v>
      </c>
      <c r="F349" t="s">
        <v>2518</v>
      </c>
      <c r="G349" t="s">
        <v>417</v>
      </c>
      <c r="H349">
        <v>186.5</v>
      </c>
      <c r="I349">
        <v>58.9</v>
      </c>
      <c r="L349" t="s">
        <v>143</v>
      </c>
      <c r="M349" t="s">
        <v>886</v>
      </c>
      <c r="N349">
        <v>31931.43</v>
      </c>
    </row>
    <row r="350" spans="1:14" ht="14.5" customHeight="1" x14ac:dyDescent="0.35">
      <c r="A350" t="s">
        <v>304</v>
      </c>
      <c r="B350" t="s">
        <v>305</v>
      </c>
      <c r="C350">
        <v>29</v>
      </c>
      <c r="D350" t="s">
        <v>29</v>
      </c>
      <c r="E350" t="s">
        <v>24</v>
      </c>
      <c r="F350" t="s">
        <v>134</v>
      </c>
      <c r="G350" t="s">
        <v>36</v>
      </c>
      <c r="H350">
        <v>188</v>
      </c>
      <c r="I350">
        <v>65.8</v>
      </c>
      <c r="K350" t="s">
        <v>95</v>
      </c>
      <c r="L350" t="s">
        <v>42</v>
      </c>
      <c r="M350" t="s">
        <v>306</v>
      </c>
      <c r="N350">
        <v>-30959.74</v>
      </c>
    </row>
    <row r="351" spans="1:14" ht="14.5" customHeight="1" x14ac:dyDescent="0.35">
      <c r="A351" t="s">
        <v>374</v>
      </c>
      <c r="B351" t="s">
        <v>375</v>
      </c>
      <c r="C351">
        <v>29</v>
      </c>
      <c r="D351" t="s">
        <v>138</v>
      </c>
      <c r="E351" t="s">
        <v>53</v>
      </c>
      <c r="F351" t="s">
        <v>17</v>
      </c>
      <c r="G351" t="s">
        <v>36</v>
      </c>
      <c r="H351">
        <v>-5</v>
      </c>
      <c r="I351">
        <v>117</v>
      </c>
      <c r="K351" t="s">
        <v>19</v>
      </c>
      <c r="L351" t="s">
        <v>86</v>
      </c>
      <c r="M351" t="s">
        <v>376</v>
      </c>
      <c r="N351">
        <v>48151.03</v>
      </c>
    </row>
    <row r="352" spans="1:14" ht="14.5" customHeight="1" x14ac:dyDescent="0.35">
      <c r="A352" t="s">
        <v>414</v>
      </c>
      <c r="B352" t="s">
        <v>1111</v>
      </c>
      <c r="C352">
        <v>29</v>
      </c>
      <c r="D352" t="s">
        <v>29</v>
      </c>
      <c r="E352" t="s">
        <v>146</v>
      </c>
      <c r="F352" t="s">
        <v>2518</v>
      </c>
      <c r="G352" t="s">
        <v>60</v>
      </c>
      <c r="H352">
        <v>170.9</v>
      </c>
      <c r="I352">
        <v>66.099999999999994</v>
      </c>
      <c r="J352" t="s">
        <v>95</v>
      </c>
      <c r="K352" t="s">
        <v>95</v>
      </c>
      <c r="L352" t="s">
        <v>48</v>
      </c>
      <c r="M352" t="s">
        <v>415</v>
      </c>
    </row>
    <row r="353" spans="1:14" ht="14.5" customHeight="1" x14ac:dyDescent="0.35">
      <c r="A353" t="s">
        <v>984</v>
      </c>
      <c r="B353" t="s">
        <v>985</v>
      </c>
      <c r="C353">
        <v>29</v>
      </c>
      <c r="D353" t="s">
        <v>138</v>
      </c>
      <c r="E353" t="s">
        <v>146</v>
      </c>
      <c r="F353" t="s">
        <v>79</v>
      </c>
      <c r="G353" t="s">
        <v>102</v>
      </c>
      <c r="H353">
        <v>177.6</v>
      </c>
      <c r="I353">
        <v>60</v>
      </c>
      <c r="J353" t="s">
        <v>20</v>
      </c>
      <c r="K353" t="s">
        <v>19</v>
      </c>
      <c r="L353" t="s">
        <v>26</v>
      </c>
      <c r="M353" t="s">
        <v>986</v>
      </c>
      <c r="N353">
        <v>33742.11</v>
      </c>
    </row>
    <row r="354" spans="1:14" ht="14.5" customHeight="1" x14ac:dyDescent="0.35">
      <c r="A354" t="s">
        <v>1415</v>
      </c>
      <c r="B354" t="s">
        <v>1416</v>
      </c>
      <c r="C354">
        <v>29</v>
      </c>
      <c r="D354" t="s">
        <v>29</v>
      </c>
      <c r="E354" t="s">
        <v>24</v>
      </c>
      <c r="F354" t="s">
        <v>17</v>
      </c>
      <c r="G354" t="s">
        <v>198</v>
      </c>
      <c r="H354">
        <v>154.1</v>
      </c>
      <c r="I354">
        <v>47.9</v>
      </c>
      <c r="J354" t="s">
        <v>61</v>
      </c>
      <c r="K354" t="s">
        <v>19</v>
      </c>
      <c r="L354" t="s">
        <v>86</v>
      </c>
      <c r="M354" t="s">
        <v>1417</v>
      </c>
    </row>
    <row r="355" spans="1:14" ht="14.5" customHeight="1" x14ac:dyDescent="0.35">
      <c r="A355" t="s">
        <v>1441</v>
      </c>
      <c r="B355" t="s">
        <v>2510</v>
      </c>
      <c r="C355">
        <v>29</v>
      </c>
      <c r="D355" t="s">
        <v>29</v>
      </c>
      <c r="E355" t="s">
        <v>45</v>
      </c>
      <c r="F355" t="s">
        <v>134</v>
      </c>
      <c r="G355" t="s">
        <v>90</v>
      </c>
      <c r="H355">
        <v>188.8</v>
      </c>
      <c r="I355">
        <v>71.400000000000006</v>
      </c>
      <c r="J355" t="s">
        <v>61</v>
      </c>
      <c r="K355" t="s">
        <v>85</v>
      </c>
      <c r="L355" t="s">
        <v>96</v>
      </c>
      <c r="M355" t="s">
        <v>1442</v>
      </c>
      <c r="N355">
        <v>8952</v>
      </c>
    </row>
    <row r="356" spans="1:14" ht="14.5" customHeight="1" x14ac:dyDescent="0.35">
      <c r="A356" t="s">
        <v>1446</v>
      </c>
      <c r="B356" t="s">
        <v>1447</v>
      </c>
      <c r="C356">
        <v>29</v>
      </c>
      <c r="D356" t="s">
        <v>138</v>
      </c>
      <c r="E356" t="s">
        <v>45</v>
      </c>
      <c r="F356" t="s">
        <v>141</v>
      </c>
      <c r="G356" t="s">
        <v>295</v>
      </c>
      <c r="H356">
        <v>194.2</v>
      </c>
      <c r="I356">
        <v>94</v>
      </c>
      <c r="K356" t="s">
        <v>62</v>
      </c>
      <c r="L356" t="s">
        <v>31</v>
      </c>
      <c r="M356" t="s">
        <v>1448</v>
      </c>
      <c r="N356">
        <v>42603.1</v>
      </c>
    </row>
    <row r="357" spans="1:14" ht="14.5" customHeight="1" x14ac:dyDescent="0.35">
      <c r="A357" t="s">
        <v>393</v>
      </c>
      <c r="B357" t="s">
        <v>394</v>
      </c>
      <c r="C357">
        <v>28</v>
      </c>
      <c r="D357" t="s">
        <v>29</v>
      </c>
      <c r="E357" t="s">
        <v>24</v>
      </c>
      <c r="F357" t="s">
        <v>17</v>
      </c>
      <c r="G357" t="s">
        <v>112</v>
      </c>
      <c r="H357">
        <v>174</v>
      </c>
      <c r="I357">
        <v>64.099999999999994</v>
      </c>
      <c r="J357" t="s">
        <v>20</v>
      </c>
      <c r="K357" t="s">
        <v>65</v>
      </c>
      <c r="L357" t="s">
        <v>48</v>
      </c>
      <c r="M357" t="s">
        <v>395</v>
      </c>
      <c r="N357">
        <v>37387.129999999997</v>
      </c>
    </row>
    <row r="358" spans="1:14" ht="14.5" customHeight="1" x14ac:dyDescent="0.35">
      <c r="A358" t="s">
        <v>498</v>
      </c>
      <c r="B358" t="s">
        <v>499</v>
      </c>
      <c r="C358">
        <v>28</v>
      </c>
      <c r="D358" t="s">
        <v>52</v>
      </c>
      <c r="E358" t="s">
        <v>45</v>
      </c>
      <c r="F358" t="s">
        <v>134</v>
      </c>
      <c r="G358" t="s">
        <v>295</v>
      </c>
      <c r="H358">
        <v>152.19999999999999</v>
      </c>
      <c r="I358">
        <v>62</v>
      </c>
      <c r="J358" t="s">
        <v>61</v>
      </c>
      <c r="L358" t="s">
        <v>175</v>
      </c>
      <c r="M358" t="s">
        <v>500</v>
      </c>
      <c r="N358">
        <v>5722.95</v>
      </c>
    </row>
    <row r="359" spans="1:14" ht="14.5" customHeight="1" x14ac:dyDescent="0.35">
      <c r="A359" t="s">
        <v>509</v>
      </c>
      <c r="B359" t="s">
        <v>510</v>
      </c>
      <c r="C359">
        <v>28</v>
      </c>
      <c r="D359" t="s">
        <v>29</v>
      </c>
      <c r="E359" t="s">
        <v>111</v>
      </c>
      <c r="F359" t="s">
        <v>2517</v>
      </c>
      <c r="G359" t="s">
        <v>417</v>
      </c>
      <c r="H359">
        <v>999</v>
      </c>
      <c r="I359">
        <v>105</v>
      </c>
      <c r="J359" t="s">
        <v>61</v>
      </c>
      <c r="K359" t="s">
        <v>20</v>
      </c>
      <c r="L359" t="s">
        <v>48</v>
      </c>
      <c r="M359" t="s">
        <v>511</v>
      </c>
      <c r="N359">
        <v>12398.51</v>
      </c>
    </row>
    <row r="360" spans="1:14" ht="14.5" customHeight="1" x14ac:dyDescent="0.35">
      <c r="A360" t="s">
        <v>738</v>
      </c>
      <c r="B360" t="s">
        <v>2448</v>
      </c>
      <c r="C360">
        <v>28</v>
      </c>
      <c r="D360" t="s">
        <v>52</v>
      </c>
      <c r="E360" t="s">
        <v>89</v>
      </c>
      <c r="F360" t="s">
        <v>36</v>
      </c>
      <c r="G360" t="s">
        <v>112</v>
      </c>
      <c r="H360">
        <v>161</v>
      </c>
      <c r="I360">
        <v>99.3</v>
      </c>
      <c r="J360" t="s">
        <v>41</v>
      </c>
      <c r="K360" t="s">
        <v>47</v>
      </c>
      <c r="L360" t="s">
        <v>31</v>
      </c>
      <c r="M360" t="s">
        <v>739</v>
      </c>
      <c r="N360">
        <v>32846.050000000003</v>
      </c>
    </row>
    <row r="361" spans="1:14" ht="14.5" customHeight="1" x14ac:dyDescent="0.35">
      <c r="A361" t="s">
        <v>806</v>
      </c>
      <c r="B361" t="s">
        <v>807</v>
      </c>
      <c r="C361">
        <v>28</v>
      </c>
      <c r="D361" t="s">
        <v>29</v>
      </c>
      <c r="E361" t="s">
        <v>24</v>
      </c>
      <c r="F361" t="s">
        <v>17</v>
      </c>
      <c r="G361" t="s">
        <v>102</v>
      </c>
      <c r="H361">
        <v>175</v>
      </c>
      <c r="I361">
        <v>114</v>
      </c>
      <c r="J361" t="s">
        <v>65</v>
      </c>
      <c r="L361" t="s">
        <v>48</v>
      </c>
      <c r="M361" t="s">
        <v>808</v>
      </c>
      <c r="N361">
        <v>45272.57</v>
      </c>
    </row>
    <row r="362" spans="1:14" ht="14.5" customHeight="1" x14ac:dyDescent="0.35">
      <c r="A362" t="s">
        <v>887</v>
      </c>
      <c r="B362" t="s">
        <v>888</v>
      </c>
      <c r="C362">
        <v>28</v>
      </c>
      <c r="D362" t="s">
        <v>138</v>
      </c>
      <c r="E362" t="s">
        <v>115</v>
      </c>
      <c r="F362" t="s">
        <v>17</v>
      </c>
      <c r="G362" t="s">
        <v>112</v>
      </c>
      <c r="H362">
        <v>187</v>
      </c>
      <c r="I362">
        <v>49.3</v>
      </c>
      <c r="K362" t="s">
        <v>30</v>
      </c>
      <c r="L362" t="s">
        <v>86</v>
      </c>
      <c r="M362" t="s">
        <v>889</v>
      </c>
      <c r="N362">
        <v>44686.87</v>
      </c>
    </row>
    <row r="363" spans="1:14" ht="14.5" customHeight="1" x14ac:dyDescent="0.35">
      <c r="A363" t="s">
        <v>1231</v>
      </c>
      <c r="B363" t="s">
        <v>1232</v>
      </c>
      <c r="C363">
        <v>28</v>
      </c>
      <c r="D363" t="s">
        <v>138</v>
      </c>
      <c r="E363" t="s">
        <v>45</v>
      </c>
      <c r="F363" t="s">
        <v>17</v>
      </c>
      <c r="G363" t="s">
        <v>191</v>
      </c>
      <c r="H363">
        <v>161</v>
      </c>
      <c r="I363">
        <v>92.6</v>
      </c>
      <c r="J363" t="s">
        <v>94</v>
      </c>
      <c r="L363" t="s">
        <v>86</v>
      </c>
      <c r="M363" t="s">
        <v>1233</v>
      </c>
      <c r="N363">
        <v>48676.99</v>
      </c>
    </row>
    <row r="364" spans="1:14" ht="14.5" customHeight="1" x14ac:dyDescent="0.35">
      <c r="A364" t="s">
        <v>1237</v>
      </c>
      <c r="B364" t="s">
        <v>1238</v>
      </c>
      <c r="C364">
        <v>28</v>
      </c>
      <c r="D364" t="s">
        <v>29</v>
      </c>
      <c r="E364" t="s">
        <v>111</v>
      </c>
      <c r="F364" t="s">
        <v>2518</v>
      </c>
      <c r="G364" t="s">
        <v>40</v>
      </c>
      <c r="H364">
        <v>194.2</v>
      </c>
      <c r="I364">
        <v>120.3</v>
      </c>
      <c r="J364" t="s">
        <v>19</v>
      </c>
      <c r="K364" t="s">
        <v>46</v>
      </c>
      <c r="L364" t="s">
        <v>69</v>
      </c>
      <c r="M364" t="s">
        <v>1239</v>
      </c>
      <c r="N364">
        <v>15268.36</v>
      </c>
    </row>
    <row r="365" spans="1:14" ht="14.5" customHeight="1" x14ac:dyDescent="0.35">
      <c r="A365" t="s">
        <v>1295</v>
      </c>
      <c r="B365" t="s">
        <v>1296</v>
      </c>
      <c r="C365">
        <v>28</v>
      </c>
      <c r="D365" t="s">
        <v>138</v>
      </c>
      <c r="E365" t="s">
        <v>59</v>
      </c>
      <c r="F365" t="s">
        <v>2518</v>
      </c>
      <c r="G365" t="s">
        <v>74</v>
      </c>
      <c r="H365">
        <v>170</v>
      </c>
      <c r="I365">
        <v>93.4</v>
      </c>
      <c r="J365" t="s">
        <v>85</v>
      </c>
      <c r="L365" t="s">
        <v>26</v>
      </c>
      <c r="M365" t="s">
        <v>1297</v>
      </c>
      <c r="N365">
        <v>17146.04</v>
      </c>
    </row>
    <row r="366" spans="1:14" ht="14.5" customHeight="1" x14ac:dyDescent="0.35">
      <c r="A366" t="s">
        <v>1349</v>
      </c>
      <c r="B366" t="s">
        <v>1350</v>
      </c>
      <c r="C366">
        <v>28</v>
      </c>
      <c r="D366" t="s">
        <v>138</v>
      </c>
      <c r="E366" t="s">
        <v>53</v>
      </c>
      <c r="F366" t="s">
        <v>17</v>
      </c>
      <c r="G366" t="s">
        <v>36</v>
      </c>
      <c r="H366">
        <v>154</v>
      </c>
      <c r="I366">
        <v>83.7</v>
      </c>
      <c r="K366" t="s">
        <v>19</v>
      </c>
      <c r="L366" t="s">
        <v>69</v>
      </c>
      <c r="M366" t="s">
        <v>1351</v>
      </c>
      <c r="N366">
        <v>39302.54</v>
      </c>
    </row>
    <row r="367" spans="1:14" ht="14.5" customHeight="1" x14ac:dyDescent="0.35">
      <c r="A367" t="s">
        <v>908</v>
      </c>
      <c r="B367" t="s">
        <v>347</v>
      </c>
      <c r="C367">
        <v>27</v>
      </c>
      <c r="D367" t="s">
        <v>52</v>
      </c>
      <c r="E367" t="s">
        <v>89</v>
      </c>
      <c r="F367" t="s">
        <v>36</v>
      </c>
      <c r="G367" t="s">
        <v>208</v>
      </c>
      <c r="H367">
        <v>183</v>
      </c>
      <c r="I367">
        <v>68</v>
      </c>
      <c r="J367" t="s">
        <v>94</v>
      </c>
      <c r="K367" t="s">
        <v>30</v>
      </c>
      <c r="L367" t="s">
        <v>55</v>
      </c>
      <c r="M367" t="s">
        <v>909</v>
      </c>
      <c r="N367">
        <v>3823.53</v>
      </c>
    </row>
    <row r="368" spans="1:14" ht="14.5" customHeight="1" x14ac:dyDescent="0.35">
      <c r="A368" t="s">
        <v>1012</v>
      </c>
      <c r="B368" t="s">
        <v>1013</v>
      </c>
      <c r="C368">
        <v>27</v>
      </c>
      <c r="D368" t="s">
        <v>29</v>
      </c>
      <c r="E368" t="s">
        <v>73</v>
      </c>
      <c r="F368" t="s">
        <v>17</v>
      </c>
      <c r="G368" t="s">
        <v>208</v>
      </c>
      <c r="H368">
        <v>150</v>
      </c>
      <c r="I368">
        <v>115.4</v>
      </c>
      <c r="J368" t="s">
        <v>46</v>
      </c>
      <c r="K368" t="s">
        <v>65</v>
      </c>
      <c r="L368" t="s">
        <v>69</v>
      </c>
      <c r="M368" t="s">
        <v>1014</v>
      </c>
      <c r="N368">
        <v>49689.89</v>
      </c>
    </row>
    <row r="369" spans="1:14" ht="14.5" customHeight="1" x14ac:dyDescent="0.35">
      <c r="A369" t="s">
        <v>1099</v>
      </c>
      <c r="B369" t="s">
        <v>1100</v>
      </c>
      <c r="C369">
        <v>27</v>
      </c>
      <c r="D369" t="s">
        <v>29</v>
      </c>
      <c r="E369" t="s">
        <v>45</v>
      </c>
      <c r="F369" t="s">
        <v>120</v>
      </c>
      <c r="G369" t="s">
        <v>74</v>
      </c>
      <c r="H369">
        <v>166.3</v>
      </c>
      <c r="I369">
        <v>47</v>
      </c>
      <c r="J369" t="s">
        <v>85</v>
      </c>
      <c r="K369" t="s">
        <v>95</v>
      </c>
      <c r="L369" t="s">
        <v>55</v>
      </c>
      <c r="M369" t="s">
        <v>1101</v>
      </c>
      <c r="N369">
        <v>21488.83</v>
      </c>
    </row>
    <row r="370" spans="1:14" ht="14.5" customHeight="1" x14ac:dyDescent="0.35">
      <c r="A370" t="s">
        <v>44</v>
      </c>
      <c r="B370" t="s">
        <v>1113</v>
      </c>
      <c r="C370">
        <v>27</v>
      </c>
      <c r="D370" t="s">
        <v>138</v>
      </c>
      <c r="E370" t="s">
        <v>111</v>
      </c>
      <c r="F370" t="s">
        <v>17</v>
      </c>
      <c r="G370" t="s">
        <v>40</v>
      </c>
      <c r="H370">
        <v>165</v>
      </c>
      <c r="I370">
        <v>59.9</v>
      </c>
      <c r="J370" t="s">
        <v>20</v>
      </c>
      <c r="K370" t="s">
        <v>65</v>
      </c>
      <c r="L370" t="s">
        <v>21</v>
      </c>
      <c r="M370" t="s">
        <v>1114</v>
      </c>
      <c r="N370">
        <v>23332.63</v>
      </c>
    </row>
    <row r="371" spans="1:14" ht="14.5" customHeight="1" x14ac:dyDescent="0.35">
      <c r="A371" t="s">
        <v>1449</v>
      </c>
      <c r="B371" t="s">
        <v>733</v>
      </c>
      <c r="C371">
        <v>27</v>
      </c>
      <c r="D371" t="s">
        <v>29</v>
      </c>
      <c r="E371" t="s">
        <v>53</v>
      </c>
      <c r="F371" t="s">
        <v>17</v>
      </c>
      <c r="G371" t="s">
        <v>124</v>
      </c>
      <c r="H371">
        <v>183</v>
      </c>
      <c r="I371">
        <v>45</v>
      </c>
      <c r="J371" t="s">
        <v>95</v>
      </c>
      <c r="K371" t="s">
        <v>19</v>
      </c>
      <c r="L371" t="s">
        <v>31</v>
      </c>
      <c r="M371" t="s">
        <v>1450</v>
      </c>
      <c r="N371">
        <v>4007.55</v>
      </c>
    </row>
    <row r="372" spans="1:14" ht="14.5" customHeight="1" x14ac:dyDescent="0.35">
      <c r="A372" t="s">
        <v>88</v>
      </c>
      <c r="B372" t="s">
        <v>2406</v>
      </c>
      <c r="C372">
        <v>26</v>
      </c>
      <c r="D372" t="s">
        <v>138</v>
      </c>
      <c r="E372" t="s">
        <v>89</v>
      </c>
      <c r="F372" t="s">
        <v>79</v>
      </c>
      <c r="G372" t="s">
        <v>90</v>
      </c>
      <c r="H372">
        <v>176</v>
      </c>
      <c r="I372">
        <v>62.5</v>
      </c>
      <c r="L372" t="s">
        <v>21</v>
      </c>
      <c r="M372" t="s">
        <v>91</v>
      </c>
      <c r="N372">
        <v>31467.41</v>
      </c>
    </row>
    <row r="373" spans="1:14" ht="14.5" customHeight="1" x14ac:dyDescent="0.35">
      <c r="A373" t="s">
        <v>634</v>
      </c>
      <c r="B373" t="s">
        <v>635</v>
      </c>
      <c r="C373">
        <v>26</v>
      </c>
      <c r="D373" t="s">
        <v>138</v>
      </c>
      <c r="E373" t="s">
        <v>89</v>
      </c>
      <c r="F373" t="s">
        <v>79</v>
      </c>
      <c r="G373" t="s">
        <v>60</v>
      </c>
      <c r="H373">
        <v>193</v>
      </c>
      <c r="I373">
        <v>127.1</v>
      </c>
      <c r="K373" t="s">
        <v>46</v>
      </c>
      <c r="L373" t="s">
        <v>55</v>
      </c>
      <c r="M373" t="s">
        <v>636</v>
      </c>
      <c r="N373">
        <v>27337.48</v>
      </c>
    </row>
    <row r="374" spans="1:14" ht="14.5" customHeight="1" x14ac:dyDescent="0.35">
      <c r="A374" t="s">
        <v>977</v>
      </c>
      <c r="B374" t="s">
        <v>978</v>
      </c>
      <c r="C374">
        <v>26</v>
      </c>
      <c r="D374" t="s">
        <v>138</v>
      </c>
      <c r="E374" t="s">
        <v>146</v>
      </c>
      <c r="F374" t="s">
        <v>2518</v>
      </c>
      <c r="G374" t="s">
        <v>35</v>
      </c>
      <c r="H374">
        <v>168.7</v>
      </c>
      <c r="I374">
        <v>85</v>
      </c>
      <c r="J374" t="s">
        <v>36</v>
      </c>
      <c r="K374" t="s">
        <v>85</v>
      </c>
      <c r="L374" t="s">
        <v>69</v>
      </c>
      <c r="M374" t="s">
        <v>979</v>
      </c>
    </row>
    <row r="375" spans="1:14" ht="14.5" customHeight="1" x14ac:dyDescent="0.35">
      <c r="A375" t="s">
        <v>1001</v>
      </c>
      <c r="B375" t="s">
        <v>1002</v>
      </c>
      <c r="C375">
        <v>26</v>
      </c>
      <c r="D375" t="s">
        <v>29</v>
      </c>
      <c r="E375" t="s">
        <v>24</v>
      </c>
      <c r="F375" t="s">
        <v>141</v>
      </c>
      <c r="G375" t="s">
        <v>112</v>
      </c>
      <c r="H375">
        <v>193.4</v>
      </c>
      <c r="I375">
        <v>120</v>
      </c>
      <c r="L375" t="s">
        <v>103</v>
      </c>
      <c r="M375" t="s">
        <v>1003</v>
      </c>
      <c r="N375">
        <v>-12577.23</v>
      </c>
    </row>
    <row r="376" spans="1:14" ht="14.5" customHeight="1" x14ac:dyDescent="0.35">
      <c r="A376" t="s">
        <v>1019</v>
      </c>
      <c r="B376" t="s">
        <v>1020</v>
      </c>
      <c r="C376">
        <v>26</v>
      </c>
      <c r="D376" t="s">
        <v>138</v>
      </c>
      <c r="E376" t="s">
        <v>16</v>
      </c>
      <c r="F376" t="s">
        <v>79</v>
      </c>
      <c r="G376" t="s">
        <v>280</v>
      </c>
      <c r="H376">
        <v>172.3</v>
      </c>
      <c r="I376">
        <v>64.8</v>
      </c>
      <c r="K376" t="s">
        <v>65</v>
      </c>
      <c r="L376" t="s">
        <v>31</v>
      </c>
      <c r="M376" t="s">
        <v>359</v>
      </c>
      <c r="N376">
        <v>7834.24</v>
      </c>
    </row>
    <row r="377" spans="1:14" ht="14.5" customHeight="1" x14ac:dyDescent="0.35">
      <c r="A377" t="s">
        <v>1165</v>
      </c>
      <c r="B377" t="s">
        <v>1166</v>
      </c>
      <c r="C377">
        <v>26</v>
      </c>
      <c r="D377" t="s">
        <v>138</v>
      </c>
      <c r="E377" t="s">
        <v>84</v>
      </c>
      <c r="F377" t="s">
        <v>2517</v>
      </c>
      <c r="G377" t="s">
        <v>208</v>
      </c>
      <c r="H377">
        <v>146</v>
      </c>
      <c r="I377">
        <v>61</v>
      </c>
      <c r="L377" t="s">
        <v>86</v>
      </c>
      <c r="M377" t="s">
        <v>1167</v>
      </c>
      <c r="N377">
        <v>572.37</v>
      </c>
    </row>
    <row r="378" spans="1:14" ht="14.5" customHeight="1" x14ac:dyDescent="0.35">
      <c r="A378" t="s">
        <v>1175</v>
      </c>
      <c r="B378" t="s">
        <v>1176</v>
      </c>
      <c r="C378">
        <v>26</v>
      </c>
      <c r="D378" t="s">
        <v>138</v>
      </c>
      <c r="E378" t="s">
        <v>130</v>
      </c>
      <c r="F378" t="s">
        <v>79</v>
      </c>
      <c r="G378" t="s">
        <v>36</v>
      </c>
      <c r="H378">
        <v>186.1</v>
      </c>
      <c r="I378">
        <v>122.8</v>
      </c>
      <c r="J378" t="s">
        <v>65</v>
      </c>
      <c r="K378" t="s">
        <v>62</v>
      </c>
      <c r="L378" t="s">
        <v>107</v>
      </c>
      <c r="M378" t="s">
        <v>1177</v>
      </c>
      <c r="N378">
        <v>11968.86</v>
      </c>
    </row>
    <row r="379" spans="1:14" ht="14.5" customHeight="1" x14ac:dyDescent="0.35">
      <c r="A379" t="s">
        <v>713</v>
      </c>
      <c r="B379" t="s">
        <v>2490</v>
      </c>
      <c r="C379">
        <v>26</v>
      </c>
      <c r="D379" t="s">
        <v>138</v>
      </c>
      <c r="E379" t="s">
        <v>78</v>
      </c>
      <c r="F379" t="s">
        <v>17</v>
      </c>
      <c r="G379" t="s">
        <v>60</v>
      </c>
      <c r="H379">
        <v>173.7</v>
      </c>
      <c r="I379">
        <v>62.5</v>
      </c>
      <c r="J379" t="s">
        <v>41</v>
      </c>
      <c r="K379" t="s">
        <v>46</v>
      </c>
      <c r="L379" t="s">
        <v>107</v>
      </c>
      <c r="M379" t="s">
        <v>1230</v>
      </c>
      <c r="N379">
        <v>44663.57</v>
      </c>
    </row>
    <row r="380" spans="1:14" ht="14.5" customHeight="1" x14ac:dyDescent="0.35">
      <c r="A380" t="s">
        <v>1462</v>
      </c>
      <c r="B380" t="s">
        <v>1401</v>
      </c>
      <c r="C380">
        <v>26</v>
      </c>
      <c r="D380" t="s">
        <v>52</v>
      </c>
      <c r="E380" t="s">
        <v>45</v>
      </c>
      <c r="F380" t="s">
        <v>120</v>
      </c>
      <c r="G380" t="s">
        <v>54</v>
      </c>
      <c r="H380">
        <v>152.19999999999999</v>
      </c>
      <c r="I380">
        <v>97.9</v>
      </c>
      <c r="K380" t="s">
        <v>85</v>
      </c>
      <c r="L380" t="s">
        <v>26</v>
      </c>
      <c r="M380" t="s">
        <v>1463</v>
      </c>
      <c r="N380">
        <v>3985.41</v>
      </c>
    </row>
    <row r="381" spans="1:14" ht="14.5" customHeight="1" x14ac:dyDescent="0.35">
      <c r="A381" t="s">
        <v>173</v>
      </c>
      <c r="B381" t="s">
        <v>174</v>
      </c>
      <c r="C381">
        <v>25</v>
      </c>
      <c r="D381" t="s">
        <v>138</v>
      </c>
      <c r="E381" t="s">
        <v>89</v>
      </c>
      <c r="F381" t="s">
        <v>141</v>
      </c>
      <c r="G381" t="s">
        <v>208</v>
      </c>
      <c r="H381">
        <v>193.1</v>
      </c>
      <c r="I381">
        <v>80</v>
      </c>
      <c r="J381" t="s">
        <v>94</v>
      </c>
      <c r="L381" t="s">
        <v>175</v>
      </c>
      <c r="M381" t="s">
        <v>176</v>
      </c>
      <c r="N381">
        <v>10976.22</v>
      </c>
    </row>
    <row r="382" spans="1:14" ht="14.5" customHeight="1" x14ac:dyDescent="0.35">
      <c r="A382" t="s">
        <v>321</v>
      </c>
      <c r="B382" t="s">
        <v>255</v>
      </c>
      <c r="C382">
        <v>25</v>
      </c>
      <c r="D382" t="s">
        <v>29</v>
      </c>
      <c r="E382" t="s">
        <v>89</v>
      </c>
      <c r="F382" t="s">
        <v>120</v>
      </c>
      <c r="G382" t="s">
        <v>124</v>
      </c>
      <c r="H382">
        <v>173.8</v>
      </c>
      <c r="I382">
        <v>92</v>
      </c>
      <c r="J382" t="s">
        <v>46</v>
      </c>
      <c r="K382" t="s">
        <v>46</v>
      </c>
      <c r="L382" t="s">
        <v>69</v>
      </c>
      <c r="M382" t="s">
        <v>322</v>
      </c>
      <c r="N382">
        <v>25353.22</v>
      </c>
    </row>
    <row r="383" spans="1:14" ht="14.5" customHeight="1" x14ac:dyDescent="0.35">
      <c r="A383" t="s">
        <v>562</v>
      </c>
      <c r="B383" t="s">
        <v>563</v>
      </c>
      <c r="C383">
        <v>25</v>
      </c>
      <c r="D383" t="s">
        <v>138</v>
      </c>
      <c r="E383" t="s">
        <v>45</v>
      </c>
      <c r="F383" t="s">
        <v>273</v>
      </c>
      <c r="G383" t="s">
        <v>124</v>
      </c>
      <c r="H383">
        <v>173</v>
      </c>
      <c r="I383">
        <v>51.3</v>
      </c>
      <c r="J383" t="s">
        <v>46</v>
      </c>
      <c r="K383" t="s">
        <v>47</v>
      </c>
      <c r="L383" t="s">
        <v>31</v>
      </c>
      <c r="M383" t="s">
        <v>564</v>
      </c>
      <c r="N383">
        <v>12536.05</v>
      </c>
    </row>
    <row r="384" spans="1:14" ht="14.5" customHeight="1" x14ac:dyDescent="0.35">
      <c r="A384" t="s">
        <v>766</v>
      </c>
      <c r="B384" t="s">
        <v>571</v>
      </c>
      <c r="C384">
        <v>25</v>
      </c>
      <c r="D384" t="s">
        <v>138</v>
      </c>
      <c r="E384" t="s">
        <v>115</v>
      </c>
      <c r="F384" t="s">
        <v>273</v>
      </c>
      <c r="G384" t="s">
        <v>54</v>
      </c>
      <c r="H384">
        <v>164</v>
      </c>
      <c r="I384">
        <v>120.4</v>
      </c>
      <c r="J384" t="s">
        <v>41</v>
      </c>
      <c r="K384" t="s">
        <v>30</v>
      </c>
      <c r="L384" t="s">
        <v>175</v>
      </c>
      <c r="M384" t="s">
        <v>767</v>
      </c>
      <c r="N384">
        <v>9672.57</v>
      </c>
    </row>
    <row r="385" spans="1:14" ht="14.5" customHeight="1" x14ac:dyDescent="0.35">
      <c r="A385" t="s">
        <v>980</v>
      </c>
      <c r="B385" t="s">
        <v>669</v>
      </c>
      <c r="C385">
        <v>25</v>
      </c>
      <c r="D385" t="s">
        <v>138</v>
      </c>
      <c r="E385" t="s">
        <v>119</v>
      </c>
      <c r="F385" t="s">
        <v>79</v>
      </c>
      <c r="G385" t="s">
        <v>36</v>
      </c>
      <c r="H385">
        <v>194.1</v>
      </c>
      <c r="I385">
        <v>43.3</v>
      </c>
      <c r="L385" t="s">
        <v>96</v>
      </c>
      <c r="M385" t="s">
        <v>981</v>
      </c>
      <c r="N385">
        <v>10206.299999999999</v>
      </c>
    </row>
    <row r="386" spans="1:14" ht="14.5" customHeight="1" x14ac:dyDescent="0.35">
      <c r="A386" t="s">
        <v>1258</v>
      </c>
      <c r="B386" t="s">
        <v>2492</v>
      </c>
      <c r="C386">
        <v>25</v>
      </c>
      <c r="D386" t="s">
        <v>29</v>
      </c>
      <c r="E386" t="s">
        <v>45</v>
      </c>
      <c r="F386" t="s">
        <v>273</v>
      </c>
      <c r="G386" t="s">
        <v>60</v>
      </c>
      <c r="H386">
        <v>185</v>
      </c>
      <c r="I386">
        <v>129.9</v>
      </c>
      <c r="J386" t="s">
        <v>19</v>
      </c>
      <c r="K386" t="s">
        <v>46</v>
      </c>
      <c r="L386" t="s">
        <v>48</v>
      </c>
      <c r="M386" t="s">
        <v>1259</v>
      </c>
      <c r="N386">
        <v>32210.61</v>
      </c>
    </row>
    <row r="387" spans="1:14" ht="14.5" customHeight="1" x14ac:dyDescent="0.35">
      <c r="A387" t="s">
        <v>1326</v>
      </c>
      <c r="B387" t="s">
        <v>1327</v>
      </c>
      <c r="C387">
        <v>25</v>
      </c>
      <c r="D387" t="s">
        <v>29</v>
      </c>
      <c r="E387" t="s">
        <v>146</v>
      </c>
      <c r="F387" t="s">
        <v>273</v>
      </c>
      <c r="G387" t="s">
        <v>417</v>
      </c>
      <c r="H387">
        <v>176.9</v>
      </c>
      <c r="I387">
        <v>81.8</v>
      </c>
      <c r="J387" t="s">
        <v>65</v>
      </c>
      <c r="K387" t="s">
        <v>65</v>
      </c>
      <c r="L387" t="s">
        <v>175</v>
      </c>
      <c r="M387" t="s">
        <v>1328</v>
      </c>
      <c r="N387">
        <v>47525.91</v>
      </c>
    </row>
    <row r="388" spans="1:14" ht="14.5" customHeight="1" x14ac:dyDescent="0.35">
      <c r="A388" t="s">
        <v>1391</v>
      </c>
      <c r="B388" t="s">
        <v>2505</v>
      </c>
      <c r="C388">
        <v>25</v>
      </c>
      <c r="D388" t="s">
        <v>29</v>
      </c>
      <c r="E388" t="s">
        <v>84</v>
      </c>
      <c r="F388" t="s">
        <v>134</v>
      </c>
      <c r="G388" t="s">
        <v>60</v>
      </c>
      <c r="H388">
        <v>190.7</v>
      </c>
      <c r="I388">
        <v>83.2</v>
      </c>
      <c r="K388" t="s">
        <v>46</v>
      </c>
      <c r="L388" t="s">
        <v>21</v>
      </c>
      <c r="M388" t="s">
        <v>1392</v>
      </c>
      <c r="N388">
        <v>26394.49</v>
      </c>
    </row>
    <row r="389" spans="1:14" ht="14.5" customHeight="1" x14ac:dyDescent="0.35">
      <c r="A389" t="s">
        <v>1464</v>
      </c>
      <c r="B389" t="s">
        <v>2512</v>
      </c>
      <c r="C389">
        <v>25</v>
      </c>
      <c r="D389" t="s">
        <v>29</v>
      </c>
      <c r="E389" t="s">
        <v>89</v>
      </c>
      <c r="F389" t="s">
        <v>273</v>
      </c>
      <c r="G389" t="s">
        <v>191</v>
      </c>
      <c r="H389">
        <v>157</v>
      </c>
      <c r="I389">
        <v>89.5</v>
      </c>
      <c r="J389" t="s">
        <v>95</v>
      </c>
      <c r="K389" t="s">
        <v>19</v>
      </c>
      <c r="L389" t="s">
        <v>48</v>
      </c>
      <c r="M389" t="s">
        <v>919</v>
      </c>
      <c r="N389">
        <v>4837.6000000000004</v>
      </c>
    </row>
    <row r="390" spans="1:14" ht="14.5" customHeight="1" x14ac:dyDescent="0.35">
      <c r="A390" t="s">
        <v>245</v>
      </c>
      <c r="B390" t="s">
        <v>246</v>
      </c>
      <c r="C390">
        <v>24</v>
      </c>
      <c r="D390" t="s">
        <v>138</v>
      </c>
      <c r="E390" t="s">
        <v>45</v>
      </c>
      <c r="F390" t="s">
        <v>79</v>
      </c>
      <c r="G390" t="s">
        <v>18</v>
      </c>
      <c r="H390">
        <v>171</v>
      </c>
      <c r="I390">
        <v>67.400000000000006</v>
      </c>
      <c r="J390" t="s">
        <v>20</v>
      </c>
      <c r="K390" t="s">
        <v>19</v>
      </c>
      <c r="L390" t="s">
        <v>42</v>
      </c>
      <c r="M390" t="s">
        <v>247</v>
      </c>
      <c r="N390">
        <v>13502.51</v>
      </c>
    </row>
    <row r="391" spans="1:14" ht="14.5" customHeight="1" x14ac:dyDescent="0.35">
      <c r="A391" t="s">
        <v>621</v>
      </c>
      <c r="B391" t="s">
        <v>2441</v>
      </c>
      <c r="C391">
        <v>24</v>
      </c>
      <c r="D391" t="s">
        <v>138</v>
      </c>
      <c r="E391" t="s">
        <v>111</v>
      </c>
      <c r="F391" t="s">
        <v>17</v>
      </c>
      <c r="G391" t="s">
        <v>36</v>
      </c>
      <c r="H391">
        <v>194.9</v>
      </c>
      <c r="I391">
        <v>86</v>
      </c>
      <c r="J391" t="s">
        <v>65</v>
      </c>
      <c r="K391" t="s">
        <v>20</v>
      </c>
      <c r="L391" t="s">
        <v>55</v>
      </c>
      <c r="M391" t="s">
        <v>622</v>
      </c>
      <c r="N391">
        <v>27981.22</v>
      </c>
    </row>
    <row r="392" spans="1:14" ht="14.5" customHeight="1" x14ac:dyDescent="0.35">
      <c r="A392" t="s">
        <v>654</v>
      </c>
      <c r="B392" t="s">
        <v>2442</v>
      </c>
      <c r="C392">
        <v>24</v>
      </c>
      <c r="D392" t="s">
        <v>138</v>
      </c>
      <c r="E392" t="s">
        <v>45</v>
      </c>
      <c r="F392" t="s">
        <v>36</v>
      </c>
      <c r="G392" t="s">
        <v>35</v>
      </c>
      <c r="H392">
        <v>169</v>
      </c>
      <c r="I392">
        <v>111.6</v>
      </c>
      <c r="J392" t="s">
        <v>65</v>
      </c>
      <c r="K392" t="s">
        <v>62</v>
      </c>
      <c r="L392" t="s">
        <v>143</v>
      </c>
      <c r="M392" t="s">
        <v>655</v>
      </c>
      <c r="N392">
        <v>34523.15</v>
      </c>
    </row>
    <row r="393" spans="1:14" ht="14.5" customHeight="1" x14ac:dyDescent="0.35">
      <c r="A393" t="s">
        <v>662</v>
      </c>
      <c r="B393" t="s">
        <v>663</v>
      </c>
      <c r="C393">
        <v>24</v>
      </c>
      <c r="D393" t="s">
        <v>52</v>
      </c>
      <c r="E393" t="s">
        <v>45</v>
      </c>
      <c r="F393" t="s">
        <v>17</v>
      </c>
      <c r="G393" t="s">
        <v>191</v>
      </c>
      <c r="H393">
        <v>155</v>
      </c>
      <c r="I393">
        <v>121.2</v>
      </c>
      <c r="J393" t="s">
        <v>46</v>
      </c>
      <c r="K393" t="s">
        <v>47</v>
      </c>
      <c r="L393" t="s">
        <v>42</v>
      </c>
      <c r="M393" t="s">
        <v>664</v>
      </c>
      <c r="N393">
        <v>16510.82</v>
      </c>
    </row>
    <row r="394" spans="1:14" ht="14.5" customHeight="1" x14ac:dyDescent="0.35">
      <c r="A394" t="s">
        <v>743</v>
      </c>
      <c r="B394" t="s">
        <v>744</v>
      </c>
      <c r="C394">
        <v>24</v>
      </c>
      <c r="D394" t="s">
        <v>52</v>
      </c>
      <c r="E394" t="s">
        <v>53</v>
      </c>
      <c r="F394" t="s">
        <v>2517</v>
      </c>
      <c r="G394" t="s">
        <v>417</v>
      </c>
      <c r="H394">
        <v>149</v>
      </c>
      <c r="I394">
        <v>78.2</v>
      </c>
      <c r="K394" t="s">
        <v>46</v>
      </c>
      <c r="L394" t="s">
        <v>48</v>
      </c>
      <c r="M394" t="s">
        <v>745</v>
      </c>
      <c r="N394">
        <v>22811.09</v>
      </c>
    </row>
    <row r="395" spans="1:14" ht="14.5" customHeight="1" x14ac:dyDescent="0.35">
      <c r="A395" t="s">
        <v>960</v>
      </c>
      <c r="B395" t="s">
        <v>865</v>
      </c>
      <c r="C395">
        <v>24</v>
      </c>
      <c r="D395" t="s">
        <v>29</v>
      </c>
      <c r="E395" t="s">
        <v>84</v>
      </c>
      <c r="F395" t="s">
        <v>36</v>
      </c>
      <c r="G395" t="s">
        <v>112</v>
      </c>
      <c r="H395">
        <v>193</v>
      </c>
      <c r="I395">
        <v>122.3</v>
      </c>
      <c r="J395" t="s">
        <v>41</v>
      </c>
      <c r="K395" t="s">
        <v>142</v>
      </c>
      <c r="L395" t="s">
        <v>175</v>
      </c>
      <c r="M395" t="s">
        <v>961</v>
      </c>
      <c r="N395">
        <v>12521.5</v>
      </c>
    </row>
    <row r="396" spans="1:14" ht="14.5" customHeight="1" x14ac:dyDescent="0.35">
      <c r="A396" t="s">
        <v>1050</v>
      </c>
      <c r="B396" t="s">
        <v>2475</v>
      </c>
      <c r="C396">
        <v>24</v>
      </c>
      <c r="D396" t="s">
        <v>138</v>
      </c>
      <c r="E396" t="s">
        <v>119</v>
      </c>
      <c r="F396" t="s">
        <v>79</v>
      </c>
      <c r="G396" t="s">
        <v>191</v>
      </c>
      <c r="H396">
        <v>177</v>
      </c>
      <c r="I396">
        <v>44</v>
      </c>
      <c r="J396" t="s">
        <v>41</v>
      </c>
      <c r="L396" t="s">
        <v>96</v>
      </c>
      <c r="M396" t="s">
        <v>1051</v>
      </c>
      <c r="N396">
        <v>46767.96</v>
      </c>
    </row>
    <row r="397" spans="1:14" ht="14.5" customHeight="1" x14ac:dyDescent="0.35">
      <c r="A397" t="s">
        <v>1234</v>
      </c>
      <c r="B397" t="s">
        <v>1235</v>
      </c>
      <c r="C397">
        <v>24</v>
      </c>
      <c r="D397" t="s">
        <v>29</v>
      </c>
      <c r="E397" t="s">
        <v>230</v>
      </c>
      <c r="F397" t="s">
        <v>17</v>
      </c>
      <c r="G397" t="s">
        <v>35</v>
      </c>
      <c r="H397">
        <v>190.9</v>
      </c>
      <c r="I397">
        <v>50</v>
      </c>
      <c r="J397" t="s">
        <v>61</v>
      </c>
      <c r="L397" t="s">
        <v>42</v>
      </c>
      <c r="M397" t="s">
        <v>1236</v>
      </c>
      <c r="N397">
        <v>34444.79</v>
      </c>
    </row>
    <row r="398" spans="1:14" ht="14.5" customHeight="1" x14ac:dyDescent="0.35">
      <c r="A398" t="s">
        <v>1368</v>
      </c>
      <c r="B398" t="s">
        <v>1369</v>
      </c>
      <c r="C398">
        <v>24</v>
      </c>
      <c r="D398" t="s">
        <v>29</v>
      </c>
      <c r="E398" t="s">
        <v>89</v>
      </c>
      <c r="F398" t="s">
        <v>273</v>
      </c>
      <c r="G398" t="s">
        <v>280</v>
      </c>
      <c r="H398">
        <v>161</v>
      </c>
      <c r="I398">
        <v>73.3</v>
      </c>
      <c r="J398" t="s">
        <v>65</v>
      </c>
      <c r="K398" t="s">
        <v>19</v>
      </c>
      <c r="L398" t="s">
        <v>31</v>
      </c>
      <c r="M398" t="s">
        <v>1370</v>
      </c>
      <c r="N398">
        <v>48732.76</v>
      </c>
    </row>
    <row r="399" spans="1:14" ht="14.5" customHeight="1" x14ac:dyDescent="0.35">
      <c r="A399" t="s">
        <v>1492</v>
      </c>
      <c r="B399" t="s">
        <v>1493</v>
      </c>
      <c r="C399">
        <v>24</v>
      </c>
      <c r="D399" t="s">
        <v>52</v>
      </c>
      <c r="E399" t="s">
        <v>146</v>
      </c>
      <c r="F399" t="s">
        <v>273</v>
      </c>
      <c r="G399" t="s">
        <v>90</v>
      </c>
      <c r="H399">
        <v>162.1</v>
      </c>
      <c r="I399">
        <v>46.2</v>
      </c>
      <c r="J399" t="s">
        <v>41</v>
      </c>
      <c r="K399" t="s">
        <v>95</v>
      </c>
      <c r="L399" t="s">
        <v>26</v>
      </c>
      <c r="M399" t="s">
        <v>1494</v>
      </c>
      <c r="N399">
        <v>26374.21</v>
      </c>
    </row>
    <row r="400" spans="1:14" ht="14.5" customHeight="1" x14ac:dyDescent="0.35">
      <c r="A400" t="s">
        <v>1400</v>
      </c>
      <c r="B400" t="s">
        <v>1401</v>
      </c>
      <c r="C400">
        <v>23</v>
      </c>
      <c r="D400" t="s">
        <v>138</v>
      </c>
      <c r="E400" t="s">
        <v>24</v>
      </c>
      <c r="F400" t="s">
        <v>120</v>
      </c>
      <c r="G400" t="s">
        <v>36</v>
      </c>
      <c r="H400">
        <v>147</v>
      </c>
      <c r="I400">
        <v>111</v>
      </c>
      <c r="J400" t="s">
        <v>46</v>
      </c>
      <c r="K400" t="s">
        <v>20</v>
      </c>
      <c r="L400" t="s">
        <v>107</v>
      </c>
      <c r="M400" t="s">
        <v>1402</v>
      </c>
      <c r="N400">
        <v>18797.21</v>
      </c>
    </row>
    <row r="401" spans="1:14" ht="14.5" customHeight="1" x14ac:dyDescent="0.35">
      <c r="A401" t="s">
        <v>1491</v>
      </c>
      <c r="B401" t="s">
        <v>563</v>
      </c>
      <c r="C401">
        <v>23</v>
      </c>
      <c r="D401" t="s">
        <v>52</v>
      </c>
      <c r="E401" t="s">
        <v>53</v>
      </c>
      <c r="F401" t="s">
        <v>141</v>
      </c>
      <c r="G401" t="s">
        <v>198</v>
      </c>
      <c r="H401">
        <v>162.30000000000001</v>
      </c>
      <c r="I401">
        <v>129</v>
      </c>
      <c r="J401" t="s">
        <v>41</v>
      </c>
      <c r="K401" t="s">
        <v>30</v>
      </c>
      <c r="L401" t="s">
        <v>226</v>
      </c>
      <c r="M401" t="s">
        <v>1125</v>
      </c>
    </row>
    <row r="402" spans="1:14" ht="14.5" customHeight="1" x14ac:dyDescent="0.35">
      <c r="A402" t="s">
        <v>419</v>
      </c>
      <c r="B402" t="s">
        <v>420</v>
      </c>
      <c r="C402">
        <v>22</v>
      </c>
      <c r="D402" t="s">
        <v>138</v>
      </c>
      <c r="E402" t="s">
        <v>45</v>
      </c>
      <c r="F402" t="s">
        <v>273</v>
      </c>
      <c r="G402" t="s">
        <v>40</v>
      </c>
      <c r="H402">
        <v>192.1</v>
      </c>
      <c r="I402">
        <v>77.3</v>
      </c>
      <c r="K402" t="s">
        <v>65</v>
      </c>
      <c r="L402" t="s">
        <v>31</v>
      </c>
      <c r="M402" t="s">
        <v>421</v>
      </c>
      <c r="N402">
        <v>10929.85</v>
      </c>
    </row>
    <row r="403" spans="1:14" ht="14.5" customHeight="1" x14ac:dyDescent="0.35">
      <c r="A403" t="s">
        <v>582</v>
      </c>
      <c r="B403" t="s">
        <v>583</v>
      </c>
      <c r="C403">
        <v>22</v>
      </c>
      <c r="D403" t="s">
        <v>29</v>
      </c>
      <c r="E403" t="s">
        <v>24</v>
      </c>
      <c r="F403" t="s">
        <v>17</v>
      </c>
      <c r="G403" t="s">
        <v>295</v>
      </c>
      <c r="H403">
        <v>174.6</v>
      </c>
      <c r="I403">
        <v>76</v>
      </c>
      <c r="J403" t="s">
        <v>65</v>
      </c>
      <c r="K403" t="s">
        <v>62</v>
      </c>
      <c r="L403" t="s">
        <v>175</v>
      </c>
      <c r="M403" t="s">
        <v>584</v>
      </c>
      <c r="N403">
        <v>38661.22</v>
      </c>
    </row>
    <row r="404" spans="1:14" ht="14.5" customHeight="1" x14ac:dyDescent="0.35">
      <c r="A404" t="s">
        <v>782</v>
      </c>
      <c r="B404" t="s">
        <v>783</v>
      </c>
      <c r="C404">
        <v>22</v>
      </c>
      <c r="D404" t="s">
        <v>138</v>
      </c>
      <c r="E404" t="s">
        <v>146</v>
      </c>
      <c r="F404" t="s">
        <v>79</v>
      </c>
      <c r="G404" t="s">
        <v>90</v>
      </c>
      <c r="H404">
        <v>167</v>
      </c>
      <c r="I404">
        <v>99.9</v>
      </c>
      <c r="J404" t="s">
        <v>46</v>
      </c>
      <c r="K404" t="s">
        <v>19</v>
      </c>
      <c r="L404" t="s">
        <v>21</v>
      </c>
      <c r="M404" t="s">
        <v>784</v>
      </c>
      <c r="N404">
        <v>-8950.89</v>
      </c>
    </row>
    <row r="405" spans="1:14" ht="14.5" customHeight="1" x14ac:dyDescent="0.35">
      <c r="A405" t="s">
        <v>1024</v>
      </c>
      <c r="B405" t="s">
        <v>1025</v>
      </c>
      <c r="C405">
        <v>22</v>
      </c>
      <c r="D405" t="s">
        <v>138</v>
      </c>
      <c r="E405" t="s">
        <v>89</v>
      </c>
      <c r="F405" t="s">
        <v>79</v>
      </c>
      <c r="G405" t="s">
        <v>280</v>
      </c>
      <c r="H405">
        <v>154.69999999999999</v>
      </c>
      <c r="I405">
        <v>107.5</v>
      </c>
      <c r="J405" t="s">
        <v>19</v>
      </c>
      <c r="K405" t="s">
        <v>85</v>
      </c>
      <c r="L405" t="s">
        <v>199</v>
      </c>
      <c r="M405" t="s">
        <v>1026</v>
      </c>
      <c r="N405">
        <v>43370.9</v>
      </c>
    </row>
    <row r="406" spans="1:14" ht="14.5" customHeight="1" x14ac:dyDescent="0.35">
      <c r="A406" t="s">
        <v>1029</v>
      </c>
      <c r="B406" t="s">
        <v>1030</v>
      </c>
      <c r="C406">
        <v>22</v>
      </c>
      <c r="D406" t="s">
        <v>29</v>
      </c>
      <c r="E406" t="s">
        <v>146</v>
      </c>
      <c r="F406" t="s">
        <v>17</v>
      </c>
      <c r="G406" t="s">
        <v>112</v>
      </c>
      <c r="H406">
        <v>150</v>
      </c>
      <c r="I406">
        <v>110.2</v>
      </c>
      <c r="K406" t="s">
        <v>47</v>
      </c>
      <c r="L406" t="s">
        <v>103</v>
      </c>
      <c r="M406" t="s">
        <v>1031</v>
      </c>
      <c r="N406">
        <v>1260.6400000000001</v>
      </c>
    </row>
    <row r="407" spans="1:14" ht="14.5" customHeight="1" x14ac:dyDescent="0.35">
      <c r="A407" t="s">
        <v>1067</v>
      </c>
      <c r="B407" t="s">
        <v>1068</v>
      </c>
      <c r="C407">
        <v>22</v>
      </c>
      <c r="D407" t="s">
        <v>138</v>
      </c>
      <c r="E407" t="s">
        <v>217</v>
      </c>
      <c r="F407" t="s">
        <v>273</v>
      </c>
      <c r="G407" t="s">
        <v>25</v>
      </c>
      <c r="H407">
        <v>166</v>
      </c>
      <c r="I407">
        <v>106</v>
      </c>
      <c r="J407" t="s">
        <v>65</v>
      </c>
      <c r="L407" t="s">
        <v>96</v>
      </c>
      <c r="M407" t="s">
        <v>1069</v>
      </c>
      <c r="N407">
        <v>13816.56</v>
      </c>
    </row>
    <row r="408" spans="1:14" ht="14.5" customHeight="1" x14ac:dyDescent="0.35">
      <c r="A408" t="s">
        <v>1102</v>
      </c>
      <c r="B408" t="s">
        <v>1103</v>
      </c>
      <c r="C408">
        <v>22</v>
      </c>
      <c r="D408" t="s">
        <v>52</v>
      </c>
      <c r="E408" t="s">
        <v>24</v>
      </c>
      <c r="F408" t="s">
        <v>17</v>
      </c>
      <c r="G408" t="s">
        <v>36</v>
      </c>
      <c r="H408">
        <v>160.9</v>
      </c>
      <c r="I408">
        <v>102</v>
      </c>
      <c r="J408" t="s">
        <v>61</v>
      </c>
      <c r="K408" t="s">
        <v>30</v>
      </c>
      <c r="L408" t="s">
        <v>48</v>
      </c>
      <c r="M408" t="s">
        <v>1104</v>
      </c>
      <c r="N408">
        <v>7279</v>
      </c>
    </row>
    <row r="409" spans="1:14" ht="14.5" customHeight="1" x14ac:dyDescent="0.35">
      <c r="A409" t="s">
        <v>1134</v>
      </c>
      <c r="B409" t="s">
        <v>2483</v>
      </c>
      <c r="C409">
        <v>22</v>
      </c>
      <c r="D409" t="s">
        <v>29</v>
      </c>
      <c r="E409" t="s">
        <v>16</v>
      </c>
      <c r="F409" t="s">
        <v>2517</v>
      </c>
      <c r="G409" t="s">
        <v>25</v>
      </c>
      <c r="H409">
        <v>162</v>
      </c>
      <c r="I409">
        <v>113.2</v>
      </c>
      <c r="L409" t="s">
        <v>55</v>
      </c>
      <c r="M409" t="s">
        <v>1135</v>
      </c>
      <c r="N409">
        <v>4837.9399999999996</v>
      </c>
    </row>
    <row r="410" spans="1:14" ht="14.5" customHeight="1" x14ac:dyDescent="0.35">
      <c r="A410" t="s">
        <v>82</v>
      </c>
      <c r="B410" t="s">
        <v>83</v>
      </c>
      <c r="C410">
        <v>21</v>
      </c>
      <c r="D410" t="s">
        <v>29</v>
      </c>
      <c r="E410" t="s">
        <v>84</v>
      </c>
      <c r="F410" t="s">
        <v>2518</v>
      </c>
      <c r="G410" t="s">
        <v>102</v>
      </c>
      <c r="H410">
        <v>181.1</v>
      </c>
      <c r="I410">
        <v>75.2</v>
      </c>
      <c r="J410" t="s">
        <v>85</v>
      </c>
      <c r="L410" t="s">
        <v>86</v>
      </c>
      <c r="M410" t="s">
        <v>87</v>
      </c>
      <c r="N410">
        <v>42884.480000000003</v>
      </c>
    </row>
    <row r="411" spans="1:14" ht="14.5" customHeight="1" x14ac:dyDescent="0.35">
      <c r="A411" t="s">
        <v>515</v>
      </c>
      <c r="B411" t="s">
        <v>516</v>
      </c>
      <c r="C411">
        <v>21</v>
      </c>
      <c r="D411" t="s">
        <v>29</v>
      </c>
      <c r="E411" t="s">
        <v>45</v>
      </c>
      <c r="F411" t="s">
        <v>36</v>
      </c>
      <c r="G411" t="s">
        <v>191</v>
      </c>
      <c r="H411">
        <v>173</v>
      </c>
      <c r="I411">
        <v>85</v>
      </c>
      <c r="J411" t="s">
        <v>41</v>
      </c>
      <c r="K411" t="s">
        <v>95</v>
      </c>
      <c r="L411" t="s">
        <v>107</v>
      </c>
      <c r="M411" t="s">
        <v>517</v>
      </c>
      <c r="N411">
        <v>19189.23</v>
      </c>
    </row>
    <row r="412" spans="1:14" ht="14.5" customHeight="1" x14ac:dyDescent="0.35">
      <c r="A412" t="s">
        <v>1313</v>
      </c>
      <c r="B412" t="s">
        <v>624</v>
      </c>
      <c r="C412">
        <v>21</v>
      </c>
      <c r="D412" t="s">
        <v>29</v>
      </c>
      <c r="E412" t="s">
        <v>115</v>
      </c>
      <c r="F412" t="s">
        <v>17</v>
      </c>
      <c r="G412" t="s">
        <v>295</v>
      </c>
      <c r="H412">
        <v>149</v>
      </c>
      <c r="I412">
        <v>84</v>
      </c>
      <c r="J412" t="s">
        <v>85</v>
      </c>
      <c r="K412" t="s">
        <v>46</v>
      </c>
      <c r="L412" t="s">
        <v>226</v>
      </c>
      <c r="M412" t="s">
        <v>1314</v>
      </c>
      <c r="N412">
        <v>10735.32</v>
      </c>
    </row>
    <row r="413" spans="1:14" ht="14.5" customHeight="1" x14ac:dyDescent="0.35">
      <c r="A413" t="s">
        <v>313</v>
      </c>
      <c r="B413" t="s">
        <v>314</v>
      </c>
      <c r="C413">
        <v>20</v>
      </c>
      <c r="D413" t="s">
        <v>29</v>
      </c>
      <c r="E413" t="s">
        <v>89</v>
      </c>
      <c r="F413" t="s">
        <v>17</v>
      </c>
      <c r="G413" t="s">
        <v>124</v>
      </c>
      <c r="H413">
        <v>171.7</v>
      </c>
      <c r="I413">
        <v>91.5</v>
      </c>
      <c r="J413" t="s">
        <v>65</v>
      </c>
      <c r="L413" t="s">
        <v>48</v>
      </c>
      <c r="M413" t="s">
        <v>315</v>
      </c>
      <c r="N413">
        <v>47870.89</v>
      </c>
    </row>
    <row r="414" spans="1:14" ht="14.5" customHeight="1" x14ac:dyDescent="0.35">
      <c r="A414" t="s">
        <v>343</v>
      </c>
      <c r="B414" t="s">
        <v>344</v>
      </c>
      <c r="C414">
        <v>20</v>
      </c>
      <c r="D414" t="s">
        <v>29</v>
      </c>
      <c r="E414" t="s">
        <v>16</v>
      </c>
      <c r="F414" t="s">
        <v>79</v>
      </c>
      <c r="G414" t="s">
        <v>80</v>
      </c>
      <c r="H414">
        <v>180</v>
      </c>
      <c r="I414">
        <v>74</v>
      </c>
      <c r="J414" t="s">
        <v>61</v>
      </c>
      <c r="K414" t="s">
        <v>19</v>
      </c>
      <c r="L414" t="s">
        <v>96</v>
      </c>
      <c r="M414" t="s">
        <v>345</v>
      </c>
      <c r="N414">
        <v>6550.45</v>
      </c>
    </row>
    <row r="415" spans="1:14" ht="14.5" customHeight="1" x14ac:dyDescent="0.35">
      <c r="A415" t="s">
        <v>390</v>
      </c>
      <c r="B415" t="s">
        <v>391</v>
      </c>
      <c r="C415">
        <v>20</v>
      </c>
      <c r="D415" t="s">
        <v>29</v>
      </c>
      <c r="E415" t="s">
        <v>84</v>
      </c>
      <c r="F415" t="s">
        <v>273</v>
      </c>
      <c r="G415" t="s">
        <v>90</v>
      </c>
      <c r="H415">
        <v>148</v>
      </c>
      <c r="I415">
        <v>105</v>
      </c>
      <c r="J415" t="s">
        <v>65</v>
      </c>
      <c r="K415" t="s">
        <v>95</v>
      </c>
      <c r="L415" t="s">
        <v>69</v>
      </c>
      <c r="M415" t="s">
        <v>392</v>
      </c>
      <c r="N415">
        <v>17424.689999999999</v>
      </c>
    </row>
    <row r="416" spans="1:14" ht="14.5" customHeight="1" x14ac:dyDescent="0.35">
      <c r="A416" t="s">
        <v>567</v>
      </c>
      <c r="B416" t="s">
        <v>568</v>
      </c>
      <c r="C416">
        <v>20</v>
      </c>
      <c r="D416" t="s">
        <v>138</v>
      </c>
      <c r="E416" t="s">
        <v>24</v>
      </c>
      <c r="F416" t="s">
        <v>36</v>
      </c>
      <c r="G416" t="s">
        <v>295</v>
      </c>
      <c r="H416">
        <v>145</v>
      </c>
      <c r="I416">
        <v>118</v>
      </c>
      <c r="J416" t="s">
        <v>20</v>
      </c>
      <c r="L416" t="s">
        <v>69</v>
      </c>
      <c r="M416" t="s">
        <v>569</v>
      </c>
      <c r="N416">
        <v>-35827.03</v>
      </c>
    </row>
    <row r="417" spans="1:14" ht="14.5" customHeight="1" x14ac:dyDescent="0.35">
      <c r="A417" t="s">
        <v>1343</v>
      </c>
      <c r="B417" t="s">
        <v>1344</v>
      </c>
      <c r="C417">
        <v>20</v>
      </c>
      <c r="D417" t="s">
        <v>138</v>
      </c>
      <c r="E417" t="s">
        <v>78</v>
      </c>
      <c r="F417" t="s">
        <v>120</v>
      </c>
      <c r="G417" t="s">
        <v>112</v>
      </c>
      <c r="H417">
        <v>191</v>
      </c>
      <c r="I417">
        <v>62.3</v>
      </c>
      <c r="J417" t="s">
        <v>20</v>
      </c>
      <c r="K417" t="s">
        <v>62</v>
      </c>
      <c r="L417" t="s">
        <v>55</v>
      </c>
      <c r="M417" t="s">
        <v>1345</v>
      </c>
      <c r="N417">
        <v>36657.61</v>
      </c>
    </row>
    <row r="418" spans="1:14" ht="14.5" customHeight="1" x14ac:dyDescent="0.35">
      <c r="A418" t="s">
        <v>693</v>
      </c>
      <c r="B418" t="s">
        <v>694</v>
      </c>
      <c r="C418">
        <v>19</v>
      </c>
      <c r="D418" t="s">
        <v>29</v>
      </c>
      <c r="E418" t="s">
        <v>53</v>
      </c>
      <c r="F418" t="s">
        <v>2518</v>
      </c>
      <c r="G418" t="s">
        <v>80</v>
      </c>
      <c r="H418">
        <v>169.8</v>
      </c>
      <c r="I418">
        <v>115</v>
      </c>
      <c r="K418" t="s">
        <v>20</v>
      </c>
      <c r="L418" t="s">
        <v>103</v>
      </c>
      <c r="M418" t="s">
        <v>695</v>
      </c>
    </row>
    <row r="419" spans="1:14" ht="14.5" customHeight="1" x14ac:dyDescent="0.35">
      <c r="A419" t="s">
        <v>717</v>
      </c>
      <c r="B419" t="s">
        <v>718</v>
      </c>
      <c r="C419">
        <v>19</v>
      </c>
      <c r="D419" t="s">
        <v>138</v>
      </c>
      <c r="E419" t="s">
        <v>73</v>
      </c>
      <c r="F419" t="s">
        <v>17</v>
      </c>
      <c r="G419" t="s">
        <v>60</v>
      </c>
      <c r="H419">
        <v>155</v>
      </c>
      <c r="I419">
        <v>70.900000000000006</v>
      </c>
      <c r="J419" t="s">
        <v>46</v>
      </c>
      <c r="L419" t="s">
        <v>107</v>
      </c>
      <c r="M419" t="s">
        <v>719</v>
      </c>
      <c r="N419">
        <v>32409.89</v>
      </c>
    </row>
    <row r="420" spans="1:14" ht="14.5" customHeight="1" x14ac:dyDescent="0.35">
      <c r="A420" t="s">
        <v>254</v>
      </c>
      <c r="B420" t="s">
        <v>801</v>
      </c>
      <c r="C420">
        <v>19</v>
      </c>
      <c r="D420" t="s">
        <v>138</v>
      </c>
      <c r="E420" t="s">
        <v>59</v>
      </c>
      <c r="F420" t="s">
        <v>2517</v>
      </c>
      <c r="G420" t="s">
        <v>90</v>
      </c>
      <c r="H420">
        <v>179</v>
      </c>
      <c r="I420">
        <v>45</v>
      </c>
      <c r="J420" t="s">
        <v>94</v>
      </c>
      <c r="L420" t="s">
        <v>69</v>
      </c>
      <c r="M420" t="s">
        <v>802</v>
      </c>
      <c r="N420">
        <v>3163.09</v>
      </c>
    </row>
    <row r="421" spans="1:14" ht="14.5" customHeight="1" x14ac:dyDescent="0.35">
      <c r="A421" t="s">
        <v>1040</v>
      </c>
      <c r="B421" t="s">
        <v>2473</v>
      </c>
      <c r="C421">
        <v>19</v>
      </c>
      <c r="D421" t="s">
        <v>138</v>
      </c>
      <c r="E421" t="s">
        <v>130</v>
      </c>
      <c r="F421" t="s">
        <v>79</v>
      </c>
      <c r="G421" t="s">
        <v>208</v>
      </c>
      <c r="H421">
        <v>185</v>
      </c>
      <c r="I421">
        <v>111</v>
      </c>
      <c r="J421" t="s">
        <v>19</v>
      </c>
      <c r="K421" t="s">
        <v>62</v>
      </c>
      <c r="L421" t="s">
        <v>42</v>
      </c>
      <c r="M421" t="s">
        <v>1041</v>
      </c>
    </row>
    <row r="422" spans="1:14" ht="14.5" customHeight="1" x14ac:dyDescent="0.35">
      <c r="A422" t="s">
        <v>1052</v>
      </c>
      <c r="B422" t="s">
        <v>1053</v>
      </c>
      <c r="C422">
        <v>19</v>
      </c>
      <c r="D422" t="s">
        <v>29</v>
      </c>
      <c r="E422" t="s">
        <v>111</v>
      </c>
      <c r="F422" t="s">
        <v>2518</v>
      </c>
      <c r="G422" t="s">
        <v>18</v>
      </c>
      <c r="H422">
        <v>999</v>
      </c>
      <c r="I422">
        <v>62</v>
      </c>
      <c r="J422" t="s">
        <v>36</v>
      </c>
      <c r="K422" t="s">
        <v>30</v>
      </c>
      <c r="L422" t="s">
        <v>226</v>
      </c>
      <c r="M422" t="s">
        <v>1054</v>
      </c>
      <c r="N422">
        <v>16720.189999999999</v>
      </c>
    </row>
    <row r="423" spans="1:14" ht="14.5" customHeight="1" x14ac:dyDescent="0.35">
      <c r="A423" t="s">
        <v>1115</v>
      </c>
      <c r="B423" t="s">
        <v>1116</v>
      </c>
      <c r="C423">
        <v>19</v>
      </c>
      <c r="D423" t="s">
        <v>138</v>
      </c>
      <c r="E423" t="s">
        <v>89</v>
      </c>
      <c r="F423" t="s">
        <v>120</v>
      </c>
      <c r="G423" t="s">
        <v>36</v>
      </c>
      <c r="H423">
        <v>173</v>
      </c>
      <c r="I423">
        <v>56</v>
      </c>
      <c r="J423" t="s">
        <v>19</v>
      </c>
      <c r="K423" t="s">
        <v>62</v>
      </c>
      <c r="L423" t="s">
        <v>107</v>
      </c>
      <c r="M423" t="s">
        <v>1117</v>
      </c>
      <c r="N423">
        <v>29025.81</v>
      </c>
    </row>
    <row r="424" spans="1:14" ht="14.5" customHeight="1" x14ac:dyDescent="0.35">
      <c r="A424" t="s">
        <v>156</v>
      </c>
      <c r="B424" t="s">
        <v>157</v>
      </c>
      <c r="C424">
        <v>18</v>
      </c>
      <c r="D424" t="s">
        <v>138</v>
      </c>
      <c r="E424" t="s">
        <v>53</v>
      </c>
      <c r="F424" t="s">
        <v>79</v>
      </c>
      <c r="G424" t="s">
        <v>112</v>
      </c>
      <c r="H424">
        <v>161</v>
      </c>
      <c r="I424">
        <v>102.1</v>
      </c>
      <c r="J424" t="s">
        <v>20</v>
      </c>
      <c r="K424" t="s">
        <v>142</v>
      </c>
      <c r="L424" t="s">
        <v>96</v>
      </c>
      <c r="M424" t="s">
        <v>158</v>
      </c>
      <c r="N424">
        <v>37518.26</v>
      </c>
    </row>
    <row r="425" spans="1:14" ht="14.5" customHeight="1" x14ac:dyDescent="0.35">
      <c r="A425" t="s">
        <v>476</v>
      </c>
      <c r="B425" t="s">
        <v>2434</v>
      </c>
      <c r="C425">
        <v>18</v>
      </c>
      <c r="D425" t="s">
        <v>29</v>
      </c>
      <c r="E425" t="s">
        <v>73</v>
      </c>
      <c r="F425" t="s">
        <v>273</v>
      </c>
      <c r="G425" t="s">
        <v>60</v>
      </c>
      <c r="H425">
        <v>149.30000000000001</v>
      </c>
      <c r="I425">
        <v>117</v>
      </c>
      <c r="J425" t="s">
        <v>19</v>
      </c>
      <c r="L425" t="s">
        <v>175</v>
      </c>
      <c r="M425" t="s">
        <v>477</v>
      </c>
      <c r="N425">
        <v>46355.17</v>
      </c>
    </row>
    <row r="426" spans="1:14" ht="14.5" customHeight="1" x14ac:dyDescent="0.35">
      <c r="A426" t="s">
        <v>478</v>
      </c>
      <c r="B426" t="s">
        <v>479</v>
      </c>
      <c r="C426">
        <v>18</v>
      </c>
      <c r="D426" t="s">
        <v>52</v>
      </c>
      <c r="E426" t="s">
        <v>146</v>
      </c>
      <c r="F426" t="s">
        <v>2518</v>
      </c>
      <c r="G426" t="s">
        <v>102</v>
      </c>
      <c r="H426">
        <v>171.6</v>
      </c>
      <c r="J426" t="s">
        <v>95</v>
      </c>
      <c r="K426" t="s">
        <v>62</v>
      </c>
      <c r="L426" t="s">
        <v>175</v>
      </c>
      <c r="M426" t="s">
        <v>480</v>
      </c>
      <c r="N426">
        <v>6329.17</v>
      </c>
    </row>
    <row r="427" spans="1:14" ht="14.5" customHeight="1" x14ac:dyDescent="0.35">
      <c r="A427" t="s">
        <v>687</v>
      </c>
      <c r="B427" t="s">
        <v>688</v>
      </c>
      <c r="C427">
        <v>18</v>
      </c>
      <c r="D427" t="s">
        <v>29</v>
      </c>
      <c r="E427" t="s">
        <v>24</v>
      </c>
      <c r="F427" t="s">
        <v>2518</v>
      </c>
      <c r="G427" t="s">
        <v>102</v>
      </c>
      <c r="H427">
        <v>173.4</v>
      </c>
      <c r="I427">
        <v>79</v>
      </c>
      <c r="J427" t="s">
        <v>85</v>
      </c>
      <c r="K427" t="s">
        <v>46</v>
      </c>
      <c r="L427" t="s">
        <v>96</v>
      </c>
      <c r="M427" t="s">
        <v>689</v>
      </c>
      <c r="N427">
        <v>16052.07</v>
      </c>
    </row>
    <row r="428" spans="1:14" ht="14.5" customHeight="1" x14ac:dyDescent="0.35">
      <c r="A428" t="s">
        <v>687</v>
      </c>
      <c r="B428" t="s">
        <v>688</v>
      </c>
      <c r="C428">
        <v>18</v>
      </c>
      <c r="D428" t="s">
        <v>29</v>
      </c>
      <c r="E428" t="s">
        <v>24</v>
      </c>
      <c r="F428" t="s">
        <v>2518</v>
      </c>
      <c r="G428" t="s">
        <v>102</v>
      </c>
      <c r="H428">
        <v>156.5</v>
      </c>
      <c r="I428">
        <v>79</v>
      </c>
      <c r="J428" t="s">
        <v>85</v>
      </c>
      <c r="K428" t="s">
        <v>46</v>
      </c>
      <c r="L428" t="s">
        <v>96</v>
      </c>
      <c r="M428" t="s">
        <v>689</v>
      </c>
      <c r="N428">
        <v>16052.07</v>
      </c>
    </row>
    <row r="429" spans="1:14" ht="14.5" customHeight="1" x14ac:dyDescent="0.35">
      <c r="A429" t="s">
        <v>882</v>
      </c>
      <c r="B429" t="s">
        <v>791</v>
      </c>
      <c r="C429">
        <v>18</v>
      </c>
      <c r="D429" t="s">
        <v>29</v>
      </c>
      <c r="E429" t="s">
        <v>217</v>
      </c>
      <c r="F429" t="s">
        <v>17</v>
      </c>
      <c r="G429" t="s">
        <v>60</v>
      </c>
      <c r="H429">
        <v>157</v>
      </c>
      <c r="I429">
        <v>121</v>
      </c>
      <c r="J429" t="s">
        <v>94</v>
      </c>
      <c r="K429" t="s">
        <v>65</v>
      </c>
      <c r="L429" t="s">
        <v>107</v>
      </c>
      <c r="M429" t="s">
        <v>883</v>
      </c>
      <c r="N429">
        <v>32604.53</v>
      </c>
    </row>
    <row r="430" spans="1:14" ht="14.5" customHeight="1" x14ac:dyDescent="0.35">
      <c r="A430" t="s">
        <v>926</v>
      </c>
      <c r="B430" t="s">
        <v>762</v>
      </c>
      <c r="C430">
        <v>18</v>
      </c>
      <c r="D430" t="s">
        <v>29</v>
      </c>
      <c r="E430" t="s">
        <v>111</v>
      </c>
      <c r="F430" t="s">
        <v>17</v>
      </c>
      <c r="G430" t="s">
        <v>36</v>
      </c>
      <c r="H430">
        <v>1.72</v>
      </c>
      <c r="I430">
        <v>57.5</v>
      </c>
      <c r="J430" t="s">
        <v>65</v>
      </c>
      <c r="K430" t="s">
        <v>47</v>
      </c>
      <c r="L430" t="s">
        <v>175</v>
      </c>
      <c r="M430" t="s">
        <v>927</v>
      </c>
      <c r="N430">
        <v>14346.17</v>
      </c>
    </row>
    <row r="431" spans="1:14" ht="14.5" customHeight="1" x14ac:dyDescent="0.35">
      <c r="A431" t="s">
        <v>1021</v>
      </c>
      <c r="B431" t="s">
        <v>1022</v>
      </c>
      <c r="C431">
        <v>18</v>
      </c>
      <c r="D431" t="s">
        <v>29</v>
      </c>
      <c r="E431" t="s">
        <v>146</v>
      </c>
      <c r="F431" t="s">
        <v>17</v>
      </c>
      <c r="G431" t="s">
        <v>80</v>
      </c>
      <c r="H431">
        <v>176.4</v>
      </c>
      <c r="I431">
        <v>105</v>
      </c>
      <c r="J431" t="s">
        <v>41</v>
      </c>
      <c r="K431" t="s">
        <v>30</v>
      </c>
      <c r="L431" t="s">
        <v>143</v>
      </c>
      <c r="M431" t="s">
        <v>1023</v>
      </c>
      <c r="N431">
        <v>4791.0600000000004</v>
      </c>
    </row>
    <row r="432" spans="1:14" ht="14.5" customHeight="1" x14ac:dyDescent="0.35">
      <c r="A432" t="s">
        <v>1042</v>
      </c>
      <c r="B432" t="s">
        <v>1043</v>
      </c>
      <c r="C432">
        <v>18</v>
      </c>
      <c r="D432" t="s">
        <v>138</v>
      </c>
      <c r="E432" t="s">
        <v>84</v>
      </c>
      <c r="F432" t="s">
        <v>2518</v>
      </c>
      <c r="G432" t="s">
        <v>160</v>
      </c>
      <c r="H432">
        <v>149</v>
      </c>
      <c r="I432">
        <v>64</v>
      </c>
      <c r="J432" t="s">
        <v>46</v>
      </c>
      <c r="L432" t="s">
        <v>86</v>
      </c>
      <c r="M432" t="s">
        <v>1044</v>
      </c>
      <c r="N432">
        <v>33751.5</v>
      </c>
    </row>
    <row r="433" spans="1:14" ht="14.5" customHeight="1" x14ac:dyDescent="0.35">
      <c r="A433" t="s">
        <v>1386</v>
      </c>
      <c r="B433" t="s">
        <v>1387</v>
      </c>
      <c r="C433">
        <v>18</v>
      </c>
      <c r="D433" t="s">
        <v>29</v>
      </c>
      <c r="E433" t="s">
        <v>130</v>
      </c>
      <c r="F433" t="s">
        <v>79</v>
      </c>
      <c r="G433" t="s">
        <v>102</v>
      </c>
      <c r="H433">
        <v>152.19999999999999</v>
      </c>
      <c r="I433">
        <v>82</v>
      </c>
      <c r="J433" t="s">
        <v>36</v>
      </c>
      <c r="L433" t="s">
        <v>86</v>
      </c>
      <c r="M433" t="s">
        <v>1388</v>
      </c>
      <c r="N433">
        <v>26508.98</v>
      </c>
    </row>
    <row r="434" spans="1:14" ht="14.5" customHeight="1" x14ac:dyDescent="0.35">
      <c r="A434" t="s">
        <v>33</v>
      </c>
      <c r="B434" t="s">
        <v>34</v>
      </c>
      <c r="C434">
        <v>17</v>
      </c>
      <c r="D434" t="s">
        <v>138</v>
      </c>
      <c r="E434" t="s">
        <v>24</v>
      </c>
      <c r="F434" t="s">
        <v>273</v>
      </c>
      <c r="G434" t="s">
        <v>35</v>
      </c>
      <c r="H434">
        <v>191</v>
      </c>
      <c r="I434">
        <v>84</v>
      </c>
      <c r="J434" t="s">
        <v>36</v>
      </c>
      <c r="L434" t="s">
        <v>31</v>
      </c>
      <c r="M434" t="s">
        <v>37</v>
      </c>
      <c r="N434">
        <v>-22372.83</v>
      </c>
    </row>
    <row r="435" spans="1:14" ht="14.5" customHeight="1" x14ac:dyDescent="0.35">
      <c r="A435" t="s">
        <v>101</v>
      </c>
      <c r="B435" t="s">
        <v>2407</v>
      </c>
      <c r="C435">
        <v>17</v>
      </c>
      <c r="D435" t="s">
        <v>29</v>
      </c>
      <c r="E435" t="s">
        <v>130</v>
      </c>
      <c r="F435" t="s">
        <v>2518</v>
      </c>
      <c r="G435" t="s">
        <v>102</v>
      </c>
      <c r="H435">
        <v>184.3</v>
      </c>
      <c r="I435">
        <v>97</v>
      </c>
      <c r="K435" t="s">
        <v>20</v>
      </c>
      <c r="L435" t="s">
        <v>103</v>
      </c>
      <c r="M435" t="s">
        <v>104</v>
      </c>
      <c r="N435">
        <v>25106.560000000001</v>
      </c>
    </row>
    <row r="436" spans="1:14" ht="14.5" customHeight="1" x14ac:dyDescent="0.35">
      <c r="A436" t="s">
        <v>294</v>
      </c>
      <c r="B436" t="s">
        <v>2407</v>
      </c>
      <c r="C436">
        <v>17</v>
      </c>
      <c r="D436" t="s">
        <v>29</v>
      </c>
      <c r="E436" t="s">
        <v>53</v>
      </c>
      <c r="F436" t="s">
        <v>120</v>
      </c>
      <c r="G436" t="s">
        <v>295</v>
      </c>
      <c r="H436">
        <v>1.8</v>
      </c>
      <c r="I436">
        <v>125</v>
      </c>
      <c r="J436" t="s">
        <v>61</v>
      </c>
      <c r="K436" t="s">
        <v>19</v>
      </c>
      <c r="L436" t="s">
        <v>199</v>
      </c>
      <c r="M436" t="s">
        <v>296</v>
      </c>
      <c r="N436">
        <v>27849.99</v>
      </c>
    </row>
    <row r="437" spans="1:14" ht="14.5" customHeight="1" x14ac:dyDescent="0.35">
      <c r="A437" t="s">
        <v>371</v>
      </c>
      <c r="B437" t="s">
        <v>372</v>
      </c>
      <c r="C437">
        <v>17</v>
      </c>
      <c r="D437" t="s">
        <v>29</v>
      </c>
      <c r="E437" t="s">
        <v>89</v>
      </c>
      <c r="F437" t="s">
        <v>2517</v>
      </c>
      <c r="G437" t="s">
        <v>36</v>
      </c>
      <c r="H437">
        <v>159</v>
      </c>
      <c r="I437">
        <v>96.2</v>
      </c>
      <c r="J437" t="s">
        <v>41</v>
      </c>
      <c r="K437" t="s">
        <v>20</v>
      </c>
      <c r="L437" t="s">
        <v>86</v>
      </c>
      <c r="M437" t="s">
        <v>373</v>
      </c>
      <c r="N437">
        <v>27279.23</v>
      </c>
    </row>
    <row r="438" spans="1:14" ht="14.5" customHeight="1" x14ac:dyDescent="0.35">
      <c r="A438" t="s">
        <v>614</v>
      </c>
      <c r="B438" t="s">
        <v>2440</v>
      </c>
      <c r="C438">
        <v>17</v>
      </c>
      <c r="D438" t="s">
        <v>52</v>
      </c>
      <c r="E438" t="s">
        <v>130</v>
      </c>
      <c r="F438" t="s">
        <v>2517</v>
      </c>
      <c r="G438" t="s">
        <v>35</v>
      </c>
      <c r="H438">
        <v>186.9</v>
      </c>
      <c r="I438">
        <v>50.9</v>
      </c>
      <c r="K438" t="s">
        <v>95</v>
      </c>
      <c r="L438" t="s">
        <v>31</v>
      </c>
      <c r="M438" t="s">
        <v>615</v>
      </c>
      <c r="N438">
        <v>19461.96</v>
      </c>
    </row>
    <row r="439" spans="1:14" ht="14.5" customHeight="1" x14ac:dyDescent="0.35">
      <c r="A439" t="s">
        <v>1191</v>
      </c>
      <c r="B439" t="s">
        <v>1192</v>
      </c>
      <c r="C439">
        <v>17</v>
      </c>
      <c r="D439" t="s">
        <v>52</v>
      </c>
      <c r="E439" t="s">
        <v>78</v>
      </c>
      <c r="F439" t="s">
        <v>2518</v>
      </c>
      <c r="G439" t="s">
        <v>60</v>
      </c>
      <c r="H439">
        <v>161</v>
      </c>
      <c r="I439">
        <v>50.7</v>
      </c>
      <c r="J439" t="s">
        <v>36</v>
      </c>
      <c r="K439" t="s">
        <v>30</v>
      </c>
      <c r="L439" t="s">
        <v>96</v>
      </c>
      <c r="M439" t="s">
        <v>1193</v>
      </c>
      <c r="N439">
        <v>2739.27</v>
      </c>
    </row>
    <row r="440" spans="1:14" ht="14.5" customHeight="1" x14ac:dyDescent="0.35">
      <c r="A440" t="s">
        <v>1209</v>
      </c>
      <c r="B440" t="s">
        <v>1210</v>
      </c>
      <c r="C440">
        <v>17</v>
      </c>
      <c r="D440" t="s">
        <v>138</v>
      </c>
      <c r="E440" t="s">
        <v>146</v>
      </c>
      <c r="F440" t="s">
        <v>36</v>
      </c>
      <c r="G440" t="s">
        <v>60</v>
      </c>
      <c r="H440">
        <v>186.6</v>
      </c>
      <c r="I440">
        <v>0</v>
      </c>
      <c r="J440" t="s">
        <v>61</v>
      </c>
      <c r="L440" t="s">
        <v>48</v>
      </c>
      <c r="M440" t="s">
        <v>1211</v>
      </c>
      <c r="N440">
        <v>17468.23</v>
      </c>
    </row>
    <row r="441" spans="1:14" ht="14.5" customHeight="1" x14ac:dyDescent="0.35">
      <c r="A441" t="s">
        <v>294</v>
      </c>
      <c r="B441" t="s">
        <v>2407</v>
      </c>
      <c r="C441">
        <v>17</v>
      </c>
      <c r="D441" t="s">
        <v>29</v>
      </c>
      <c r="E441" t="s">
        <v>53</v>
      </c>
      <c r="F441" t="s">
        <v>120</v>
      </c>
      <c r="G441" t="s">
        <v>295</v>
      </c>
      <c r="H441">
        <v>180</v>
      </c>
      <c r="I441">
        <v>125</v>
      </c>
      <c r="J441" t="s">
        <v>61</v>
      </c>
      <c r="K441" t="s">
        <v>19</v>
      </c>
      <c r="L441" t="s">
        <v>199</v>
      </c>
      <c r="M441" t="s">
        <v>296</v>
      </c>
      <c r="N441">
        <v>27849.99</v>
      </c>
    </row>
    <row r="442" spans="1:14" ht="14.5" customHeight="1" x14ac:dyDescent="0.35">
      <c r="A442" t="s">
        <v>38</v>
      </c>
      <c r="B442" t="s">
        <v>39</v>
      </c>
      <c r="C442">
        <v>16</v>
      </c>
      <c r="D442" t="s">
        <v>52</v>
      </c>
      <c r="E442" t="s">
        <v>146</v>
      </c>
      <c r="F442" t="s">
        <v>17</v>
      </c>
      <c r="G442" t="s">
        <v>40</v>
      </c>
      <c r="H442">
        <v>169.5</v>
      </c>
      <c r="I442">
        <v>93</v>
      </c>
      <c r="J442" t="s">
        <v>41</v>
      </c>
      <c r="L442" t="s">
        <v>42</v>
      </c>
      <c r="M442" t="s">
        <v>43</v>
      </c>
      <c r="N442">
        <v>43726.16</v>
      </c>
    </row>
    <row r="443" spans="1:14" ht="14.5" customHeight="1" x14ac:dyDescent="0.35">
      <c r="A443" t="s">
        <v>136</v>
      </c>
      <c r="B443" t="s">
        <v>137</v>
      </c>
      <c r="C443">
        <v>16</v>
      </c>
      <c r="D443" t="s">
        <v>138</v>
      </c>
      <c r="E443" t="s">
        <v>73</v>
      </c>
      <c r="F443" t="s">
        <v>79</v>
      </c>
      <c r="G443" t="s">
        <v>36</v>
      </c>
      <c r="H443">
        <v>156</v>
      </c>
      <c r="I443">
        <v>70</v>
      </c>
      <c r="K443" t="s">
        <v>20</v>
      </c>
      <c r="L443" t="s">
        <v>48</v>
      </c>
      <c r="M443" t="s">
        <v>139</v>
      </c>
      <c r="N443">
        <v>2923.06</v>
      </c>
    </row>
    <row r="444" spans="1:14" ht="14.5" customHeight="1" x14ac:dyDescent="0.35">
      <c r="A444" t="s">
        <v>430</v>
      </c>
      <c r="B444" t="s">
        <v>431</v>
      </c>
      <c r="C444">
        <v>16</v>
      </c>
      <c r="D444" t="s">
        <v>52</v>
      </c>
      <c r="E444" t="s">
        <v>111</v>
      </c>
      <c r="F444" t="s">
        <v>2518</v>
      </c>
      <c r="G444" t="s">
        <v>90</v>
      </c>
      <c r="H444">
        <v>168</v>
      </c>
      <c r="I444">
        <v>53.8</v>
      </c>
      <c r="J444" t="s">
        <v>95</v>
      </c>
      <c r="K444" t="s">
        <v>20</v>
      </c>
      <c r="L444" t="s">
        <v>55</v>
      </c>
      <c r="M444" t="s">
        <v>432</v>
      </c>
      <c r="N444">
        <v>26848.79</v>
      </c>
    </row>
    <row r="445" spans="1:14" ht="14.5" customHeight="1" x14ac:dyDescent="0.35">
      <c r="A445" t="s">
        <v>836</v>
      </c>
      <c r="B445" t="s">
        <v>837</v>
      </c>
      <c r="C445">
        <v>16</v>
      </c>
      <c r="D445" t="s">
        <v>138</v>
      </c>
      <c r="E445" t="s">
        <v>217</v>
      </c>
      <c r="F445" t="s">
        <v>36</v>
      </c>
      <c r="G445" t="s">
        <v>160</v>
      </c>
      <c r="H445">
        <v>163</v>
      </c>
      <c r="I445">
        <v>119</v>
      </c>
      <c r="J445" t="s">
        <v>95</v>
      </c>
      <c r="K445" t="s">
        <v>65</v>
      </c>
      <c r="L445" t="s">
        <v>103</v>
      </c>
      <c r="M445" t="s">
        <v>838</v>
      </c>
      <c r="N445">
        <v>35713.4</v>
      </c>
    </row>
    <row r="446" spans="1:14" ht="14.5" customHeight="1" x14ac:dyDescent="0.35">
      <c r="A446" t="s">
        <v>890</v>
      </c>
      <c r="B446" t="s">
        <v>891</v>
      </c>
      <c r="C446">
        <v>16</v>
      </c>
      <c r="D446" t="s">
        <v>138</v>
      </c>
      <c r="E446" t="s">
        <v>89</v>
      </c>
      <c r="F446" t="s">
        <v>2517</v>
      </c>
      <c r="G446" t="s">
        <v>36</v>
      </c>
      <c r="H446">
        <v>160.9</v>
      </c>
      <c r="I446">
        <v>128</v>
      </c>
      <c r="J446" t="s">
        <v>36</v>
      </c>
      <c r="K446" t="s">
        <v>65</v>
      </c>
      <c r="L446" t="s">
        <v>26</v>
      </c>
      <c r="M446" t="s">
        <v>892</v>
      </c>
      <c r="N446">
        <v>49979.95</v>
      </c>
    </row>
    <row r="447" spans="1:14" ht="14.5" customHeight="1" x14ac:dyDescent="0.35">
      <c r="A447" t="s">
        <v>1194</v>
      </c>
      <c r="B447" t="s">
        <v>1195</v>
      </c>
      <c r="C447">
        <v>16</v>
      </c>
      <c r="D447" t="s">
        <v>29</v>
      </c>
      <c r="E447" t="s">
        <v>89</v>
      </c>
      <c r="F447" t="s">
        <v>2518</v>
      </c>
      <c r="G447" t="s">
        <v>54</v>
      </c>
      <c r="H447">
        <v>179</v>
      </c>
      <c r="I447">
        <v>51.2</v>
      </c>
      <c r="J447" t="s">
        <v>46</v>
      </c>
      <c r="K447" t="s">
        <v>142</v>
      </c>
      <c r="L447" t="s">
        <v>21</v>
      </c>
      <c r="M447" t="s">
        <v>1196</v>
      </c>
      <c r="N447">
        <v>504.24</v>
      </c>
    </row>
    <row r="448" spans="1:14" ht="14.5" customHeight="1" x14ac:dyDescent="0.35">
      <c r="A448" t="s">
        <v>98</v>
      </c>
      <c r="B448" t="s">
        <v>99</v>
      </c>
      <c r="C448">
        <v>15</v>
      </c>
      <c r="D448" t="s">
        <v>29</v>
      </c>
      <c r="E448" t="s">
        <v>24</v>
      </c>
      <c r="F448" t="s">
        <v>17</v>
      </c>
      <c r="G448" t="s">
        <v>102</v>
      </c>
      <c r="H448">
        <v>175</v>
      </c>
      <c r="I448">
        <v>57.5</v>
      </c>
      <c r="K448" t="s">
        <v>62</v>
      </c>
      <c r="L448" t="s">
        <v>86</v>
      </c>
      <c r="M448" t="s">
        <v>100</v>
      </c>
      <c r="N448">
        <v>32459.78</v>
      </c>
    </row>
    <row r="449" spans="1:14" ht="14.5" customHeight="1" x14ac:dyDescent="0.35">
      <c r="A449" t="s">
        <v>457</v>
      </c>
      <c r="B449" t="s">
        <v>458</v>
      </c>
      <c r="C449">
        <v>15</v>
      </c>
      <c r="D449" t="s">
        <v>29</v>
      </c>
      <c r="E449" t="s">
        <v>16</v>
      </c>
      <c r="F449" t="s">
        <v>141</v>
      </c>
      <c r="G449" t="s">
        <v>417</v>
      </c>
      <c r="H449">
        <v>157</v>
      </c>
      <c r="I449">
        <v>-10</v>
      </c>
      <c r="J449" t="s">
        <v>41</v>
      </c>
      <c r="K449" t="s">
        <v>62</v>
      </c>
      <c r="L449" t="s">
        <v>69</v>
      </c>
      <c r="M449" t="s">
        <v>459</v>
      </c>
      <c r="N449">
        <v>22478.98</v>
      </c>
    </row>
    <row r="450" spans="1:14" ht="14.5" customHeight="1" x14ac:dyDescent="0.35">
      <c r="A450" t="s">
        <v>487</v>
      </c>
      <c r="B450" t="s">
        <v>1063</v>
      </c>
      <c r="C450">
        <v>15</v>
      </c>
      <c r="D450" t="s">
        <v>138</v>
      </c>
      <c r="E450" t="s">
        <v>24</v>
      </c>
      <c r="F450" t="s">
        <v>2517</v>
      </c>
      <c r="G450" t="s">
        <v>90</v>
      </c>
      <c r="H450">
        <v>161.69999999999999</v>
      </c>
      <c r="I450">
        <v>51</v>
      </c>
      <c r="J450" t="s">
        <v>46</v>
      </c>
      <c r="K450" t="s">
        <v>47</v>
      </c>
      <c r="L450" t="s">
        <v>226</v>
      </c>
      <c r="M450" t="s">
        <v>488</v>
      </c>
      <c r="N450">
        <v>25358.42</v>
      </c>
    </row>
    <row r="451" spans="1:14" ht="14.5" customHeight="1" x14ac:dyDescent="0.35">
      <c r="A451" t="s">
        <v>1070</v>
      </c>
      <c r="B451" t="s">
        <v>1071</v>
      </c>
      <c r="C451">
        <v>15</v>
      </c>
      <c r="D451" t="s">
        <v>29</v>
      </c>
      <c r="E451" t="s">
        <v>24</v>
      </c>
      <c r="F451" t="s">
        <v>17</v>
      </c>
      <c r="G451" t="s">
        <v>35</v>
      </c>
      <c r="H451">
        <v>177.9</v>
      </c>
      <c r="J451" t="s">
        <v>85</v>
      </c>
      <c r="K451" t="s">
        <v>19</v>
      </c>
      <c r="L451" t="s">
        <v>21</v>
      </c>
      <c r="M451" t="s">
        <v>1072</v>
      </c>
      <c r="N451">
        <v>6125.64</v>
      </c>
    </row>
    <row r="452" spans="1:14" ht="14.5" customHeight="1" x14ac:dyDescent="0.35">
      <c r="A452" t="s">
        <v>1253</v>
      </c>
      <c r="B452" t="s">
        <v>1254</v>
      </c>
      <c r="C452">
        <v>15</v>
      </c>
      <c r="D452" t="s">
        <v>29</v>
      </c>
      <c r="E452" t="s">
        <v>53</v>
      </c>
      <c r="F452" t="s">
        <v>79</v>
      </c>
      <c r="G452" t="s">
        <v>35</v>
      </c>
      <c r="H452">
        <v>190.9</v>
      </c>
      <c r="I452">
        <v>85.8</v>
      </c>
      <c r="J452" t="s">
        <v>19</v>
      </c>
      <c r="K452" t="s">
        <v>85</v>
      </c>
      <c r="L452" t="s">
        <v>86</v>
      </c>
      <c r="M452" t="s">
        <v>161</v>
      </c>
      <c r="N452">
        <v>25937.79</v>
      </c>
    </row>
    <row r="453" spans="1:14" ht="14.5" customHeight="1" x14ac:dyDescent="0.35">
      <c r="A453" t="s">
        <v>126</v>
      </c>
      <c r="B453" t="s">
        <v>2409</v>
      </c>
      <c r="C453">
        <v>14</v>
      </c>
      <c r="D453" t="s">
        <v>138</v>
      </c>
      <c r="E453" t="s">
        <v>130</v>
      </c>
      <c r="F453" t="s">
        <v>36</v>
      </c>
      <c r="G453" t="s">
        <v>124</v>
      </c>
      <c r="H453">
        <v>170</v>
      </c>
      <c r="I453">
        <v>128</v>
      </c>
      <c r="J453" t="s">
        <v>41</v>
      </c>
      <c r="K453" t="s">
        <v>19</v>
      </c>
      <c r="L453" t="s">
        <v>21</v>
      </c>
      <c r="M453" t="s">
        <v>127</v>
      </c>
      <c r="N453">
        <v>40210.639999999999</v>
      </c>
    </row>
    <row r="454" spans="1:14" ht="14.5" customHeight="1" x14ac:dyDescent="0.35">
      <c r="A454" t="s">
        <v>425</v>
      </c>
      <c r="B454" t="s">
        <v>694</v>
      </c>
      <c r="C454">
        <v>14</v>
      </c>
      <c r="D454" t="s">
        <v>138</v>
      </c>
      <c r="E454" t="s">
        <v>78</v>
      </c>
      <c r="F454" t="s">
        <v>273</v>
      </c>
      <c r="G454" t="s">
        <v>36</v>
      </c>
      <c r="H454">
        <v>168</v>
      </c>
      <c r="I454">
        <v>74</v>
      </c>
      <c r="J454" t="s">
        <v>61</v>
      </c>
      <c r="K454" t="s">
        <v>85</v>
      </c>
      <c r="L454" t="s">
        <v>103</v>
      </c>
      <c r="M454" t="s">
        <v>426</v>
      </c>
      <c r="N454">
        <v>20589.189999999999</v>
      </c>
    </row>
    <row r="455" spans="1:14" ht="14.5" customHeight="1" x14ac:dyDescent="0.35">
      <c r="A455" t="s">
        <v>543</v>
      </c>
      <c r="B455" t="s">
        <v>2437</v>
      </c>
      <c r="C455">
        <v>14</v>
      </c>
      <c r="D455" t="s">
        <v>29</v>
      </c>
      <c r="E455" t="s">
        <v>73</v>
      </c>
      <c r="F455" t="s">
        <v>2517</v>
      </c>
      <c r="G455" t="s">
        <v>160</v>
      </c>
      <c r="H455">
        <v>171</v>
      </c>
      <c r="I455">
        <v>60.9</v>
      </c>
      <c r="K455" t="s">
        <v>95</v>
      </c>
      <c r="L455" t="s">
        <v>21</v>
      </c>
      <c r="M455" t="s">
        <v>544</v>
      </c>
      <c r="N455">
        <v>1945.02</v>
      </c>
    </row>
    <row r="456" spans="1:14" ht="14.5" customHeight="1" x14ac:dyDescent="0.35">
      <c r="A456" t="s">
        <v>573</v>
      </c>
      <c r="B456" t="s">
        <v>574</v>
      </c>
      <c r="C456">
        <v>14</v>
      </c>
      <c r="D456" t="s">
        <v>52</v>
      </c>
      <c r="E456" t="s">
        <v>111</v>
      </c>
      <c r="F456" t="s">
        <v>79</v>
      </c>
      <c r="G456" t="s">
        <v>160</v>
      </c>
      <c r="H456">
        <v>165</v>
      </c>
      <c r="I456">
        <v>116.3</v>
      </c>
      <c r="J456" t="s">
        <v>61</v>
      </c>
      <c r="K456" t="s">
        <v>30</v>
      </c>
      <c r="L456" t="s">
        <v>96</v>
      </c>
      <c r="M456" t="s">
        <v>575</v>
      </c>
      <c r="N456">
        <v>30907.35</v>
      </c>
    </row>
    <row r="457" spans="1:14" ht="14.5" customHeight="1" x14ac:dyDescent="0.35">
      <c r="A457" t="s">
        <v>126</v>
      </c>
      <c r="B457" t="s">
        <v>2409</v>
      </c>
      <c r="C457">
        <v>14</v>
      </c>
      <c r="D457" t="s">
        <v>138</v>
      </c>
      <c r="E457" t="s">
        <v>130</v>
      </c>
      <c r="F457" t="s">
        <v>36</v>
      </c>
      <c r="G457" t="s">
        <v>124</v>
      </c>
      <c r="H457">
        <v>190</v>
      </c>
      <c r="I457">
        <v>128</v>
      </c>
      <c r="J457" t="s">
        <v>41</v>
      </c>
      <c r="K457" t="s">
        <v>19</v>
      </c>
      <c r="L457" t="s">
        <v>21</v>
      </c>
      <c r="M457" t="s">
        <v>127</v>
      </c>
      <c r="N457">
        <v>40210.639999999999</v>
      </c>
    </row>
    <row r="458" spans="1:14" ht="14.5" customHeight="1" x14ac:dyDescent="0.35">
      <c r="A458" t="s">
        <v>922</v>
      </c>
      <c r="B458" t="s">
        <v>2466</v>
      </c>
      <c r="C458">
        <v>14</v>
      </c>
      <c r="D458" t="s">
        <v>29</v>
      </c>
      <c r="E458" t="s">
        <v>111</v>
      </c>
      <c r="F458" t="s">
        <v>79</v>
      </c>
      <c r="G458" t="s">
        <v>74</v>
      </c>
      <c r="H458">
        <v>156.69999999999999</v>
      </c>
      <c r="I458">
        <v>94</v>
      </c>
      <c r="L458" t="s">
        <v>55</v>
      </c>
      <c r="M458" t="s">
        <v>923</v>
      </c>
      <c r="N458">
        <v>22735.85</v>
      </c>
    </row>
    <row r="459" spans="1:14" ht="14.5" customHeight="1" x14ac:dyDescent="0.35">
      <c r="A459" t="s">
        <v>991</v>
      </c>
      <c r="B459" t="s">
        <v>2470</v>
      </c>
      <c r="C459">
        <v>14</v>
      </c>
      <c r="D459" t="s">
        <v>29</v>
      </c>
      <c r="E459" t="s">
        <v>146</v>
      </c>
      <c r="F459" t="s">
        <v>79</v>
      </c>
      <c r="G459" t="s">
        <v>124</v>
      </c>
      <c r="H459">
        <v>152.1</v>
      </c>
      <c r="I459">
        <v>94</v>
      </c>
      <c r="J459" t="s">
        <v>41</v>
      </c>
      <c r="K459" t="s">
        <v>142</v>
      </c>
      <c r="L459" t="s">
        <v>48</v>
      </c>
      <c r="M459" t="s">
        <v>992</v>
      </c>
      <c r="N459">
        <v>21549.61</v>
      </c>
    </row>
    <row r="460" spans="1:14" ht="14.5" customHeight="1" x14ac:dyDescent="0.35">
      <c r="A460" t="s">
        <v>1132</v>
      </c>
      <c r="B460" t="s">
        <v>2482</v>
      </c>
      <c r="C460">
        <v>14</v>
      </c>
      <c r="D460" t="s">
        <v>52</v>
      </c>
      <c r="E460" t="s">
        <v>59</v>
      </c>
      <c r="F460" t="s">
        <v>134</v>
      </c>
      <c r="G460" t="s">
        <v>160</v>
      </c>
      <c r="H460">
        <v>146</v>
      </c>
      <c r="I460">
        <v>42.2</v>
      </c>
      <c r="J460" t="s">
        <v>41</v>
      </c>
      <c r="K460" t="s">
        <v>95</v>
      </c>
      <c r="L460" t="s">
        <v>48</v>
      </c>
      <c r="M460" t="s">
        <v>1133</v>
      </c>
      <c r="N460">
        <v>46123.7</v>
      </c>
    </row>
    <row r="461" spans="1:14" ht="14.5" customHeight="1" x14ac:dyDescent="0.35">
      <c r="A461" t="s">
        <v>1315</v>
      </c>
      <c r="B461" t="s">
        <v>1316</v>
      </c>
      <c r="C461">
        <v>14</v>
      </c>
      <c r="D461" t="s">
        <v>138</v>
      </c>
      <c r="E461" t="s">
        <v>130</v>
      </c>
      <c r="F461" t="s">
        <v>79</v>
      </c>
      <c r="G461" t="s">
        <v>35</v>
      </c>
      <c r="H461">
        <v>152</v>
      </c>
      <c r="I461">
        <v>78.599999999999994</v>
      </c>
      <c r="J461" t="s">
        <v>65</v>
      </c>
      <c r="K461" t="s">
        <v>142</v>
      </c>
      <c r="L461" t="s">
        <v>143</v>
      </c>
      <c r="M461" t="s">
        <v>1317</v>
      </c>
      <c r="N461">
        <v>42553.99</v>
      </c>
    </row>
    <row r="462" spans="1:14" ht="14.5" customHeight="1" x14ac:dyDescent="0.35">
      <c r="A462" t="s">
        <v>452</v>
      </c>
      <c r="B462" t="s">
        <v>453</v>
      </c>
      <c r="C462">
        <v>13</v>
      </c>
      <c r="D462" t="s">
        <v>138</v>
      </c>
      <c r="E462" t="s">
        <v>45</v>
      </c>
      <c r="F462" t="s">
        <v>17</v>
      </c>
      <c r="G462" t="s">
        <v>198</v>
      </c>
      <c r="H462">
        <v>165</v>
      </c>
      <c r="I462">
        <v>128</v>
      </c>
      <c r="J462" t="s">
        <v>20</v>
      </c>
      <c r="K462" t="s">
        <v>47</v>
      </c>
      <c r="L462" t="s">
        <v>48</v>
      </c>
      <c r="M462" t="s">
        <v>454</v>
      </c>
      <c r="N462">
        <v>29512.880000000001</v>
      </c>
    </row>
    <row r="463" spans="1:14" ht="14.5" customHeight="1" x14ac:dyDescent="0.35">
      <c r="A463" t="s">
        <v>590</v>
      </c>
      <c r="B463" t="s">
        <v>591</v>
      </c>
      <c r="C463">
        <v>13</v>
      </c>
      <c r="D463" t="s">
        <v>29</v>
      </c>
      <c r="E463" t="s">
        <v>78</v>
      </c>
      <c r="F463" t="s">
        <v>2517</v>
      </c>
      <c r="G463" t="s">
        <v>25</v>
      </c>
      <c r="H463">
        <v>171</v>
      </c>
      <c r="I463">
        <v>78.5</v>
      </c>
      <c r="J463" t="s">
        <v>41</v>
      </c>
      <c r="K463" t="s">
        <v>62</v>
      </c>
      <c r="L463" t="s">
        <v>69</v>
      </c>
      <c r="M463" t="s">
        <v>592</v>
      </c>
      <c r="N463">
        <v>4877.2299999999996</v>
      </c>
    </row>
    <row r="464" spans="1:14" ht="14.5" customHeight="1" x14ac:dyDescent="0.35">
      <c r="A464" t="s">
        <v>803</v>
      </c>
      <c r="B464" t="s">
        <v>804</v>
      </c>
      <c r="C464">
        <v>13</v>
      </c>
      <c r="D464" t="s">
        <v>29</v>
      </c>
      <c r="E464" t="s">
        <v>146</v>
      </c>
      <c r="F464" t="s">
        <v>2517</v>
      </c>
      <c r="G464" t="s">
        <v>160</v>
      </c>
      <c r="H464">
        <v>155.9</v>
      </c>
      <c r="I464">
        <v>114</v>
      </c>
      <c r="J464" t="s">
        <v>19</v>
      </c>
      <c r="L464" t="s">
        <v>86</v>
      </c>
      <c r="M464" t="s">
        <v>805</v>
      </c>
      <c r="N464">
        <v>42517.86</v>
      </c>
    </row>
    <row r="465" spans="1:14" ht="14.5" customHeight="1" x14ac:dyDescent="0.35">
      <c r="A465" t="s">
        <v>1004</v>
      </c>
      <c r="B465" t="s">
        <v>1283</v>
      </c>
      <c r="C465">
        <v>13</v>
      </c>
      <c r="D465" t="s">
        <v>138</v>
      </c>
      <c r="E465" t="s">
        <v>146</v>
      </c>
      <c r="F465" t="s">
        <v>17</v>
      </c>
      <c r="G465" t="s">
        <v>36</v>
      </c>
      <c r="H465">
        <v>184.4</v>
      </c>
      <c r="I465">
        <v>115.7</v>
      </c>
      <c r="J465" t="s">
        <v>61</v>
      </c>
      <c r="L465" t="s">
        <v>199</v>
      </c>
      <c r="M465" t="s">
        <v>1005</v>
      </c>
      <c r="N465">
        <v>44141.87</v>
      </c>
    </row>
    <row r="466" spans="1:14" ht="14.5" customHeight="1" x14ac:dyDescent="0.35">
      <c r="A466" t="s">
        <v>1240</v>
      </c>
      <c r="B466" t="s">
        <v>1241</v>
      </c>
      <c r="C466">
        <v>13</v>
      </c>
      <c r="D466" t="s">
        <v>29</v>
      </c>
      <c r="E466" t="s">
        <v>230</v>
      </c>
      <c r="F466" t="s">
        <v>17</v>
      </c>
      <c r="G466" t="s">
        <v>208</v>
      </c>
      <c r="H466">
        <v>192</v>
      </c>
      <c r="I466">
        <v>113</v>
      </c>
      <c r="J466" t="s">
        <v>36</v>
      </c>
      <c r="K466" t="s">
        <v>47</v>
      </c>
      <c r="L466" t="s">
        <v>96</v>
      </c>
      <c r="M466" t="s">
        <v>1242</v>
      </c>
      <c r="N466">
        <v>4321.4799999999996</v>
      </c>
    </row>
    <row r="467" spans="1:14" ht="14.5" customHeight="1" x14ac:dyDescent="0.35">
      <c r="A467" t="s">
        <v>1245</v>
      </c>
      <c r="B467" t="s">
        <v>1246</v>
      </c>
      <c r="C467">
        <v>13</v>
      </c>
      <c r="D467" t="s">
        <v>29</v>
      </c>
      <c r="E467" t="s">
        <v>59</v>
      </c>
      <c r="F467" t="s">
        <v>79</v>
      </c>
      <c r="G467" t="s">
        <v>90</v>
      </c>
      <c r="H467">
        <v>171</v>
      </c>
      <c r="I467">
        <v>53</v>
      </c>
      <c r="J467" t="s">
        <v>85</v>
      </c>
      <c r="K467" t="s">
        <v>95</v>
      </c>
      <c r="L467" t="s">
        <v>103</v>
      </c>
      <c r="M467" t="s">
        <v>1247</v>
      </c>
      <c r="N467">
        <v>15597.31</v>
      </c>
    </row>
    <row r="468" spans="1:14" ht="14.5" customHeight="1" x14ac:dyDescent="0.35">
      <c r="A468" t="s">
        <v>1359</v>
      </c>
      <c r="B468" t="s">
        <v>1360</v>
      </c>
      <c r="C468">
        <v>13</v>
      </c>
      <c r="D468" t="s">
        <v>138</v>
      </c>
      <c r="E468" t="s">
        <v>230</v>
      </c>
      <c r="F468" t="s">
        <v>134</v>
      </c>
      <c r="G468" t="s">
        <v>160</v>
      </c>
      <c r="H468">
        <v>155.5</v>
      </c>
      <c r="I468">
        <v>99</v>
      </c>
      <c r="J468" t="s">
        <v>65</v>
      </c>
      <c r="K468" t="s">
        <v>62</v>
      </c>
      <c r="L468" t="s">
        <v>42</v>
      </c>
      <c r="M468" t="s">
        <v>1361</v>
      </c>
      <c r="N468">
        <v>31351.34</v>
      </c>
    </row>
    <row r="469" spans="1:14" ht="14.5" customHeight="1" x14ac:dyDescent="0.35">
      <c r="A469" t="s">
        <v>109</v>
      </c>
      <c r="B469" t="s">
        <v>372</v>
      </c>
      <c r="C469">
        <v>12</v>
      </c>
      <c r="D469" t="s">
        <v>29</v>
      </c>
      <c r="E469" t="s">
        <v>217</v>
      </c>
      <c r="F469" t="s">
        <v>17</v>
      </c>
      <c r="G469" t="s">
        <v>124</v>
      </c>
      <c r="H469">
        <v>151.6</v>
      </c>
      <c r="I469">
        <v>500</v>
      </c>
      <c r="J469" t="s">
        <v>94</v>
      </c>
      <c r="L469" t="s">
        <v>226</v>
      </c>
      <c r="M469" t="s">
        <v>523</v>
      </c>
      <c r="N469">
        <v>26600.3</v>
      </c>
    </row>
    <row r="470" spans="1:14" ht="14.5" customHeight="1" x14ac:dyDescent="0.35">
      <c r="A470" t="s">
        <v>895</v>
      </c>
      <c r="B470" t="s">
        <v>896</v>
      </c>
      <c r="C470">
        <v>12</v>
      </c>
      <c r="D470" t="s">
        <v>138</v>
      </c>
      <c r="E470" t="s">
        <v>73</v>
      </c>
      <c r="F470" t="s">
        <v>134</v>
      </c>
      <c r="G470" t="s">
        <v>35</v>
      </c>
      <c r="H470">
        <v>165.2</v>
      </c>
      <c r="I470">
        <v>84</v>
      </c>
      <c r="K470" t="s">
        <v>20</v>
      </c>
      <c r="L470" t="s">
        <v>226</v>
      </c>
      <c r="M470" t="s">
        <v>897</v>
      </c>
      <c r="N470">
        <v>37448.93</v>
      </c>
    </row>
    <row r="471" spans="1:14" ht="14.5" customHeight="1" x14ac:dyDescent="0.35">
      <c r="A471" t="s">
        <v>44</v>
      </c>
      <c r="B471" t="s">
        <v>2405</v>
      </c>
      <c r="C471">
        <v>11</v>
      </c>
      <c r="D471" t="s">
        <v>138</v>
      </c>
      <c r="E471" t="s">
        <v>45</v>
      </c>
      <c r="F471" t="s">
        <v>79</v>
      </c>
      <c r="G471" t="s">
        <v>36</v>
      </c>
      <c r="H471">
        <v>172</v>
      </c>
      <c r="I471">
        <v>89</v>
      </c>
      <c r="J471" t="s">
        <v>46</v>
      </c>
      <c r="K471" t="s">
        <v>47</v>
      </c>
      <c r="L471" t="s">
        <v>48</v>
      </c>
      <c r="M471" t="s">
        <v>49</v>
      </c>
      <c r="N471">
        <v>2708.54</v>
      </c>
    </row>
    <row r="472" spans="1:14" ht="14.5" customHeight="1" x14ac:dyDescent="0.35">
      <c r="A472" t="s">
        <v>117</v>
      </c>
      <c r="B472" t="s">
        <v>118</v>
      </c>
      <c r="C472">
        <v>11</v>
      </c>
      <c r="D472" t="s">
        <v>29</v>
      </c>
      <c r="E472" t="s">
        <v>119</v>
      </c>
      <c r="F472" t="s">
        <v>120</v>
      </c>
      <c r="G472" t="s">
        <v>18</v>
      </c>
      <c r="H472">
        <v>191</v>
      </c>
      <c r="I472">
        <v>67.599999999999994</v>
      </c>
      <c r="J472" t="s">
        <v>95</v>
      </c>
      <c r="L472" t="s">
        <v>31</v>
      </c>
      <c r="M472" t="s">
        <v>121</v>
      </c>
      <c r="N472">
        <v>2596.58</v>
      </c>
    </row>
    <row r="473" spans="1:14" ht="14.5" customHeight="1" x14ac:dyDescent="0.35">
      <c r="A473" t="s">
        <v>471</v>
      </c>
      <c r="B473" t="s">
        <v>2433</v>
      </c>
      <c r="C473">
        <v>11</v>
      </c>
      <c r="D473" t="s">
        <v>138</v>
      </c>
      <c r="E473" t="s">
        <v>45</v>
      </c>
      <c r="F473" t="s">
        <v>273</v>
      </c>
      <c r="G473" t="s">
        <v>74</v>
      </c>
      <c r="H473">
        <v>158.6</v>
      </c>
      <c r="I473">
        <v>52.6</v>
      </c>
      <c r="J473" t="s">
        <v>94</v>
      </c>
      <c r="K473" t="s">
        <v>47</v>
      </c>
      <c r="L473" t="s">
        <v>55</v>
      </c>
      <c r="M473" t="s">
        <v>472</v>
      </c>
      <c r="N473">
        <v>39179.15</v>
      </c>
    </row>
    <row r="474" spans="1:14" ht="14.5" customHeight="1" x14ac:dyDescent="0.35">
      <c r="A474" t="s">
        <v>524</v>
      </c>
      <c r="B474" t="s">
        <v>2436</v>
      </c>
      <c r="C474">
        <v>11</v>
      </c>
      <c r="D474" t="s">
        <v>29</v>
      </c>
      <c r="E474" t="s">
        <v>146</v>
      </c>
      <c r="F474" t="s">
        <v>36</v>
      </c>
      <c r="G474" t="s">
        <v>124</v>
      </c>
      <c r="H474">
        <v>184</v>
      </c>
      <c r="I474">
        <v>126.2</v>
      </c>
      <c r="J474" t="s">
        <v>46</v>
      </c>
      <c r="K474" t="s">
        <v>30</v>
      </c>
      <c r="L474" t="s">
        <v>48</v>
      </c>
      <c r="M474" t="s">
        <v>525</v>
      </c>
      <c r="N474">
        <v>43504.06</v>
      </c>
    </row>
    <row r="475" spans="1:14" ht="14.5" customHeight="1" x14ac:dyDescent="0.35">
      <c r="A475" t="s">
        <v>579</v>
      </c>
      <c r="B475" t="s">
        <v>580</v>
      </c>
      <c r="C475">
        <v>11</v>
      </c>
      <c r="D475" t="s">
        <v>52</v>
      </c>
      <c r="E475" t="s">
        <v>89</v>
      </c>
      <c r="F475" t="s">
        <v>2518</v>
      </c>
      <c r="G475" t="s">
        <v>295</v>
      </c>
      <c r="H475">
        <v>159</v>
      </c>
      <c r="I475">
        <v>74</v>
      </c>
      <c r="J475" t="s">
        <v>46</v>
      </c>
      <c r="K475" t="s">
        <v>30</v>
      </c>
      <c r="L475" t="s">
        <v>199</v>
      </c>
      <c r="M475" t="s">
        <v>581</v>
      </c>
      <c r="N475">
        <v>43506.52</v>
      </c>
    </row>
    <row r="476" spans="1:14" ht="14.5" customHeight="1" x14ac:dyDescent="0.35">
      <c r="A476" t="s">
        <v>844</v>
      </c>
      <c r="B476" t="s">
        <v>1342</v>
      </c>
      <c r="C476">
        <v>11</v>
      </c>
      <c r="D476" t="s">
        <v>29</v>
      </c>
      <c r="E476" t="s">
        <v>84</v>
      </c>
      <c r="F476" t="s">
        <v>2518</v>
      </c>
      <c r="G476" t="s">
        <v>54</v>
      </c>
      <c r="H476">
        <v>181.2</v>
      </c>
      <c r="I476">
        <v>78.099999999999994</v>
      </c>
      <c r="J476" t="s">
        <v>19</v>
      </c>
      <c r="K476" t="s">
        <v>46</v>
      </c>
      <c r="L476" t="s">
        <v>107</v>
      </c>
      <c r="M476" t="s">
        <v>845</v>
      </c>
      <c r="N476">
        <v>17415.75</v>
      </c>
    </row>
    <row r="477" spans="1:14" ht="14.5" customHeight="1" x14ac:dyDescent="0.35">
      <c r="A477" t="s">
        <v>939</v>
      </c>
      <c r="B477" t="s">
        <v>940</v>
      </c>
      <c r="C477">
        <v>11</v>
      </c>
      <c r="D477" t="s">
        <v>138</v>
      </c>
      <c r="E477" t="s">
        <v>130</v>
      </c>
      <c r="F477" t="s">
        <v>36</v>
      </c>
      <c r="G477" t="s">
        <v>18</v>
      </c>
      <c r="H477">
        <v>154.30000000000001</v>
      </c>
      <c r="I477">
        <v>99.3</v>
      </c>
      <c r="J477" t="s">
        <v>46</v>
      </c>
      <c r="K477" t="s">
        <v>85</v>
      </c>
      <c r="L477" t="s">
        <v>226</v>
      </c>
      <c r="M477" t="s">
        <v>941</v>
      </c>
      <c r="N477">
        <v>16769.88</v>
      </c>
    </row>
    <row r="478" spans="1:14" ht="14.5" customHeight="1" x14ac:dyDescent="0.35">
      <c r="A478" t="s">
        <v>989</v>
      </c>
      <c r="B478" t="s">
        <v>990</v>
      </c>
      <c r="C478">
        <v>11</v>
      </c>
      <c r="D478" t="s">
        <v>29</v>
      </c>
      <c r="E478" t="s">
        <v>24</v>
      </c>
      <c r="F478" t="s">
        <v>2517</v>
      </c>
      <c r="G478" t="s">
        <v>160</v>
      </c>
      <c r="H478">
        <v>163.69999999999999</v>
      </c>
      <c r="I478">
        <v>106.9</v>
      </c>
      <c r="J478" t="s">
        <v>41</v>
      </c>
      <c r="K478" t="s">
        <v>20</v>
      </c>
      <c r="L478" t="s">
        <v>199</v>
      </c>
      <c r="M478" t="s">
        <v>547</v>
      </c>
      <c r="N478">
        <v>7262.89</v>
      </c>
    </row>
    <row r="479" spans="1:14" ht="14.5" customHeight="1" x14ac:dyDescent="0.35">
      <c r="A479" t="s">
        <v>1092</v>
      </c>
      <c r="B479" t="s">
        <v>865</v>
      </c>
      <c r="C479">
        <v>11</v>
      </c>
      <c r="D479" t="s">
        <v>138</v>
      </c>
      <c r="E479" t="s">
        <v>130</v>
      </c>
      <c r="F479" t="s">
        <v>36</v>
      </c>
      <c r="G479" t="s">
        <v>160</v>
      </c>
      <c r="H479">
        <v>188</v>
      </c>
      <c r="I479">
        <v>119</v>
      </c>
      <c r="J479" t="s">
        <v>95</v>
      </c>
      <c r="L479" t="s">
        <v>107</v>
      </c>
      <c r="M479" t="s">
        <v>1093</v>
      </c>
      <c r="N479">
        <v>17916.89</v>
      </c>
    </row>
    <row r="480" spans="1:14" ht="14.5" customHeight="1" x14ac:dyDescent="0.35">
      <c r="A480" t="s">
        <v>1110</v>
      </c>
      <c r="B480" t="s">
        <v>1111</v>
      </c>
      <c r="C480">
        <v>11</v>
      </c>
      <c r="D480" t="s">
        <v>52</v>
      </c>
      <c r="E480" t="s">
        <v>24</v>
      </c>
      <c r="F480" t="s">
        <v>141</v>
      </c>
      <c r="G480" t="s">
        <v>160</v>
      </c>
      <c r="H480">
        <v>149</v>
      </c>
      <c r="I480">
        <v>73</v>
      </c>
      <c r="J480" t="s">
        <v>46</v>
      </c>
      <c r="K480" t="s">
        <v>46</v>
      </c>
      <c r="L480" t="s">
        <v>21</v>
      </c>
      <c r="M480" t="s">
        <v>1112</v>
      </c>
      <c r="N480">
        <v>35612.19</v>
      </c>
    </row>
    <row r="481" spans="1:14" ht="14.5" customHeight="1" x14ac:dyDescent="0.35">
      <c r="A481" t="s">
        <v>1248</v>
      </c>
      <c r="B481" t="s">
        <v>1249</v>
      </c>
      <c r="C481">
        <v>11</v>
      </c>
      <c r="D481" t="s">
        <v>138</v>
      </c>
      <c r="E481" t="s">
        <v>45</v>
      </c>
      <c r="F481" t="s">
        <v>2518</v>
      </c>
      <c r="G481" t="s">
        <v>90</v>
      </c>
      <c r="H481">
        <v>184</v>
      </c>
      <c r="I481">
        <v>113.8</v>
      </c>
      <c r="J481" t="s">
        <v>19</v>
      </c>
      <c r="K481" t="s">
        <v>47</v>
      </c>
      <c r="L481" t="s">
        <v>103</v>
      </c>
      <c r="M481" t="s">
        <v>1250</v>
      </c>
      <c r="N481">
        <v>29961.58</v>
      </c>
    </row>
    <row r="482" spans="1:14" ht="14.5" customHeight="1" x14ac:dyDescent="0.35">
      <c r="A482" t="s">
        <v>1341</v>
      </c>
      <c r="B482" t="s">
        <v>1342</v>
      </c>
      <c r="C482">
        <v>11</v>
      </c>
      <c r="D482" t="s">
        <v>29</v>
      </c>
      <c r="E482" t="s">
        <v>84</v>
      </c>
      <c r="F482" t="s">
        <v>17</v>
      </c>
      <c r="G482" t="s">
        <v>102</v>
      </c>
      <c r="H482">
        <v>192.8</v>
      </c>
      <c r="I482">
        <v>89</v>
      </c>
      <c r="J482" t="s">
        <v>65</v>
      </c>
      <c r="K482" t="s">
        <v>142</v>
      </c>
      <c r="L482" t="s">
        <v>175</v>
      </c>
      <c r="M482" t="s">
        <v>381</v>
      </c>
      <c r="N482">
        <v>-17365.09</v>
      </c>
    </row>
    <row r="483" spans="1:14" ht="14.5" customHeight="1" x14ac:dyDescent="0.35">
      <c r="A483" t="s">
        <v>1428</v>
      </c>
      <c r="B483" t="s">
        <v>1429</v>
      </c>
      <c r="C483">
        <v>11</v>
      </c>
      <c r="D483" t="s">
        <v>138</v>
      </c>
      <c r="E483" t="s">
        <v>24</v>
      </c>
      <c r="F483" t="s">
        <v>2518</v>
      </c>
      <c r="G483" t="s">
        <v>36</v>
      </c>
      <c r="H483">
        <v>1.65</v>
      </c>
      <c r="I483">
        <v>88.4</v>
      </c>
      <c r="J483" t="s">
        <v>61</v>
      </c>
      <c r="K483" t="s">
        <v>62</v>
      </c>
      <c r="L483" t="s">
        <v>69</v>
      </c>
      <c r="M483" t="s">
        <v>1430</v>
      </c>
      <c r="N483">
        <v>48075.16</v>
      </c>
    </row>
    <row r="484" spans="1:14" ht="14.5" customHeight="1" x14ac:dyDescent="0.35">
      <c r="A484" t="s">
        <v>1483</v>
      </c>
      <c r="B484" t="s">
        <v>1484</v>
      </c>
      <c r="C484">
        <v>11</v>
      </c>
      <c r="D484" t="s">
        <v>29</v>
      </c>
      <c r="E484" t="s">
        <v>16</v>
      </c>
      <c r="F484" t="s">
        <v>79</v>
      </c>
      <c r="G484" t="s">
        <v>90</v>
      </c>
      <c r="H484">
        <v>182.6</v>
      </c>
      <c r="I484">
        <v>81.8</v>
      </c>
      <c r="K484" t="s">
        <v>46</v>
      </c>
      <c r="L484" t="s">
        <v>175</v>
      </c>
      <c r="M484" t="s">
        <v>1138</v>
      </c>
      <c r="N484">
        <v>47809.72</v>
      </c>
    </row>
    <row r="485" spans="1:14" ht="14.5" customHeight="1" x14ac:dyDescent="0.35">
      <c r="A485" t="s">
        <v>954</v>
      </c>
      <c r="B485" t="s">
        <v>955</v>
      </c>
      <c r="C485">
        <v>10</v>
      </c>
      <c r="D485" t="s">
        <v>29</v>
      </c>
      <c r="E485" t="s">
        <v>146</v>
      </c>
      <c r="F485" t="s">
        <v>134</v>
      </c>
      <c r="G485" t="s">
        <v>102</v>
      </c>
      <c r="H485">
        <v>157</v>
      </c>
      <c r="I485">
        <v>109.4</v>
      </c>
      <c r="J485" t="s">
        <v>61</v>
      </c>
      <c r="L485" t="s">
        <v>31</v>
      </c>
      <c r="M485" t="s">
        <v>956</v>
      </c>
      <c r="N485">
        <v>3356.38</v>
      </c>
    </row>
    <row r="486" spans="1:14" ht="14.5" customHeight="1" x14ac:dyDescent="0.35">
      <c r="A486" t="s">
        <v>1073</v>
      </c>
      <c r="B486" t="s">
        <v>1074</v>
      </c>
      <c r="C486">
        <v>10</v>
      </c>
      <c r="D486" t="s">
        <v>138</v>
      </c>
      <c r="E486" t="s">
        <v>130</v>
      </c>
      <c r="F486" t="s">
        <v>36</v>
      </c>
      <c r="G486" t="s">
        <v>191</v>
      </c>
      <c r="H486">
        <v>174</v>
      </c>
      <c r="L486" t="s">
        <v>26</v>
      </c>
      <c r="M486" t="s">
        <v>1075</v>
      </c>
      <c r="N486">
        <v>29721.759999999998</v>
      </c>
    </row>
    <row r="487" spans="1:14" ht="14.5" customHeight="1" x14ac:dyDescent="0.35">
      <c r="A487" t="s">
        <v>1215</v>
      </c>
      <c r="B487" t="s">
        <v>2468</v>
      </c>
      <c r="C487">
        <v>10</v>
      </c>
      <c r="D487" t="s">
        <v>138</v>
      </c>
      <c r="E487" t="s">
        <v>230</v>
      </c>
      <c r="F487" t="s">
        <v>17</v>
      </c>
      <c r="G487" t="s">
        <v>208</v>
      </c>
      <c r="H487">
        <v>150</v>
      </c>
      <c r="I487">
        <v>52</v>
      </c>
      <c r="J487" t="s">
        <v>65</v>
      </c>
      <c r="K487" t="s">
        <v>142</v>
      </c>
      <c r="L487" t="s">
        <v>21</v>
      </c>
      <c r="M487" t="s">
        <v>1216</v>
      </c>
      <c r="N487">
        <v>8517.36</v>
      </c>
    </row>
    <row r="488" spans="1:14" ht="14.5" customHeight="1" x14ac:dyDescent="0.35">
      <c r="A488" t="s">
        <v>1273</v>
      </c>
      <c r="B488" t="s">
        <v>1274</v>
      </c>
      <c r="C488">
        <v>10</v>
      </c>
      <c r="D488" t="s">
        <v>29</v>
      </c>
      <c r="E488" t="s">
        <v>89</v>
      </c>
      <c r="F488" t="s">
        <v>273</v>
      </c>
      <c r="G488" t="s">
        <v>90</v>
      </c>
      <c r="H488">
        <v>172</v>
      </c>
      <c r="I488">
        <v>127</v>
      </c>
      <c r="J488" t="s">
        <v>41</v>
      </c>
      <c r="K488" t="s">
        <v>62</v>
      </c>
      <c r="L488" t="s">
        <v>21</v>
      </c>
      <c r="M488" t="s">
        <v>1275</v>
      </c>
      <c r="N488">
        <v>7423.34</v>
      </c>
    </row>
    <row r="489" spans="1:14" ht="14.5" customHeight="1" x14ac:dyDescent="0.35">
      <c r="A489" t="s">
        <v>481</v>
      </c>
      <c r="B489" t="s">
        <v>482</v>
      </c>
      <c r="C489">
        <v>9</v>
      </c>
      <c r="D489" t="s">
        <v>138</v>
      </c>
      <c r="E489" t="s">
        <v>217</v>
      </c>
      <c r="F489" t="s">
        <v>79</v>
      </c>
      <c r="G489" t="s">
        <v>36</v>
      </c>
      <c r="H489">
        <v>183.1</v>
      </c>
      <c r="I489">
        <v>111</v>
      </c>
      <c r="J489" t="s">
        <v>85</v>
      </c>
      <c r="K489" t="s">
        <v>65</v>
      </c>
      <c r="L489" t="s">
        <v>96</v>
      </c>
      <c r="M489" t="s">
        <v>483</v>
      </c>
      <c r="N489">
        <v>34967.61</v>
      </c>
    </row>
    <row r="490" spans="1:14" ht="14.5" customHeight="1" x14ac:dyDescent="0.35">
      <c r="A490" t="s">
        <v>611</v>
      </c>
      <c r="B490" t="s">
        <v>612</v>
      </c>
      <c r="C490">
        <v>9</v>
      </c>
      <c r="D490" t="s">
        <v>138</v>
      </c>
      <c r="E490" t="s">
        <v>146</v>
      </c>
      <c r="F490" t="s">
        <v>141</v>
      </c>
      <c r="G490" t="s">
        <v>18</v>
      </c>
      <c r="H490">
        <v>163.19999999999999</v>
      </c>
      <c r="I490">
        <v>95.6</v>
      </c>
      <c r="J490" t="s">
        <v>20</v>
      </c>
      <c r="K490" t="s">
        <v>30</v>
      </c>
      <c r="L490" t="s">
        <v>42</v>
      </c>
      <c r="M490" t="s">
        <v>613</v>
      </c>
      <c r="N490">
        <v>19504.04</v>
      </c>
    </row>
    <row r="491" spans="1:14" ht="14.5" customHeight="1" x14ac:dyDescent="0.35">
      <c r="A491" t="s">
        <v>265</v>
      </c>
      <c r="B491" t="s">
        <v>266</v>
      </c>
      <c r="C491">
        <v>8</v>
      </c>
      <c r="D491" t="s">
        <v>29</v>
      </c>
      <c r="E491" t="s">
        <v>24</v>
      </c>
      <c r="F491" t="s">
        <v>2517</v>
      </c>
      <c r="G491" t="s">
        <v>160</v>
      </c>
      <c r="H491">
        <v>0</v>
      </c>
      <c r="J491" t="s">
        <v>61</v>
      </c>
      <c r="K491" t="s">
        <v>30</v>
      </c>
      <c r="L491" t="s">
        <v>103</v>
      </c>
      <c r="M491" t="s">
        <v>267</v>
      </c>
      <c r="N491">
        <v>33727.47</v>
      </c>
    </row>
    <row r="492" spans="1:14" ht="14.5" customHeight="1" x14ac:dyDescent="0.35">
      <c r="A492" t="s">
        <v>554</v>
      </c>
      <c r="B492" t="s">
        <v>555</v>
      </c>
      <c r="C492">
        <v>8</v>
      </c>
      <c r="D492" t="s">
        <v>29</v>
      </c>
      <c r="E492" t="s">
        <v>115</v>
      </c>
      <c r="F492" t="s">
        <v>141</v>
      </c>
      <c r="G492" t="s">
        <v>208</v>
      </c>
      <c r="H492">
        <v>171.9</v>
      </c>
      <c r="I492">
        <v>96.3</v>
      </c>
      <c r="J492" t="s">
        <v>65</v>
      </c>
      <c r="K492" t="s">
        <v>47</v>
      </c>
      <c r="L492" t="s">
        <v>48</v>
      </c>
      <c r="M492" t="s">
        <v>556</v>
      </c>
      <c r="N492">
        <v>17887.830000000002</v>
      </c>
    </row>
    <row r="493" spans="1:14" ht="14.5" customHeight="1" x14ac:dyDescent="0.35">
      <c r="A493" t="s">
        <v>696</v>
      </c>
      <c r="B493" t="s">
        <v>697</v>
      </c>
      <c r="C493">
        <v>8</v>
      </c>
      <c r="D493" t="s">
        <v>138</v>
      </c>
      <c r="E493" t="s">
        <v>78</v>
      </c>
      <c r="F493" t="s">
        <v>79</v>
      </c>
      <c r="G493" t="s">
        <v>74</v>
      </c>
      <c r="H493">
        <v>999</v>
      </c>
      <c r="I493">
        <v>101.7</v>
      </c>
      <c r="J493" t="s">
        <v>65</v>
      </c>
      <c r="K493" t="s">
        <v>95</v>
      </c>
      <c r="L493" t="s">
        <v>107</v>
      </c>
      <c r="M493" t="s">
        <v>698</v>
      </c>
      <c r="N493">
        <v>49189.13</v>
      </c>
    </row>
    <row r="494" spans="1:14" ht="14.5" customHeight="1" x14ac:dyDescent="0.35">
      <c r="A494" t="s">
        <v>1144</v>
      </c>
      <c r="B494" t="s">
        <v>39</v>
      </c>
      <c r="C494">
        <v>8</v>
      </c>
      <c r="D494" t="s">
        <v>138</v>
      </c>
      <c r="E494" t="s">
        <v>45</v>
      </c>
      <c r="F494" t="s">
        <v>36</v>
      </c>
      <c r="G494" t="s">
        <v>198</v>
      </c>
      <c r="H494">
        <v>184.1</v>
      </c>
      <c r="I494">
        <v>99</v>
      </c>
      <c r="J494" t="s">
        <v>65</v>
      </c>
      <c r="K494" t="s">
        <v>19</v>
      </c>
      <c r="L494" t="s">
        <v>55</v>
      </c>
      <c r="M494" t="s">
        <v>1145</v>
      </c>
      <c r="N494">
        <v>1061.8499999999999</v>
      </c>
    </row>
    <row r="495" spans="1:14" ht="14.5" customHeight="1" x14ac:dyDescent="0.35">
      <c r="A495" t="s">
        <v>1149</v>
      </c>
      <c r="B495" t="s">
        <v>1150</v>
      </c>
      <c r="C495">
        <v>8</v>
      </c>
      <c r="D495" t="s">
        <v>29</v>
      </c>
      <c r="E495" t="s">
        <v>111</v>
      </c>
      <c r="F495" t="s">
        <v>17</v>
      </c>
      <c r="G495" t="s">
        <v>36</v>
      </c>
      <c r="H495">
        <v>157</v>
      </c>
      <c r="I495">
        <v>113</v>
      </c>
      <c r="J495" t="s">
        <v>46</v>
      </c>
      <c r="K495" t="s">
        <v>65</v>
      </c>
      <c r="L495" t="s">
        <v>103</v>
      </c>
      <c r="M495" t="s">
        <v>1151</v>
      </c>
      <c r="N495">
        <v>24199.19</v>
      </c>
    </row>
    <row r="496" spans="1:14" ht="14.5" customHeight="1" x14ac:dyDescent="0.35">
      <c r="A496" t="s">
        <v>1436</v>
      </c>
      <c r="B496" t="s">
        <v>2509</v>
      </c>
      <c r="C496">
        <v>8</v>
      </c>
      <c r="D496" t="s">
        <v>138</v>
      </c>
      <c r="E496" t="s">
        <v>146</v>
      </c>
      <c r="F496" t="s">
        <v>17</v>
      </c>
      <c r="G496" t="s">
        <v>102</v>
      </c>
      <c r="H496">
        <v>155.5</v>
      </c>
      <c r="I496">
        <v>84.9</v>
      </c>
      <c r="J496" t="s">
        <v>95</v>
      </c>
      <c r="K496" t="s">
        <v>85</v>
      </c>
      <c r="L496" t="s">
        <v>21</v>
      </c>
      <c r="M496" t="s">
        <v>1437</v>
      </c>
      <c r="N496">
        <v>28287.72</v>
      </c>
    </row>
    <row r="497" spans="1:14" ht="14.5" customHeight="1" x14ac:dyDescent="0.35">
      <c r="A497" t="s">
        <v>1477</v>
      </c>
      <c r="B497" t="s">
        <v>1478</v>
      </c>
      <c r="C497">
        <v>8</v>
      </c>
      <c r="D497" t="s">
        <v>138</v>
      </c>
      <c r="E497" t="s">
        <v>146</v>
      </c>
      <c r="F497" t="s">
        <v>36</v>
      </c>
      <c r="G497" t="s">
        <v>90</v>
      </c>
      <c r="H497">
        <v>150.9</v>
      </c>
      <c r="I497">
        <v>127.3</v>
      </c>
      <c r="J497" t="s">
        <v>20</v>
      </c>
      <c r="K497" t="s">
        <v>19</v>
      </c>
      <c r="L497" t="s">
        <v>26</v>
      </c>
      <c r="M497" t="s">
        <v>1479</v>
      </c>
      <c r="N497">
        <v>24686.98</v>
      </c>
    </row>
    <row r="498" spans="1:14" ht="14.5" customHeight="1" x14ac:dyDescent="0.35">
      <c r="A498" t="s">
        <v>128</v>
      </c>
      <c r="B498" t="s">
        <v>129</v>
      </c>
      <c r="C498">
        <v>7</v>
      </c>
      <c r="D498" t="s">
        <v>138</v>
      </c>
      <c r="E498" t="s">
        <v>130</v>
      </c>
      <c r="F498" t="s">
        <v>79</v>
      </c>
      <c r="G498" t="s">
        <v>35</v>
      </c>
      <c r="H498">
        <v>175</v>
      </c>
      <c r="I498">
        <v>114.9</v>
      </c>
      <c r="K498" t="s">
        <v>19</v>
      </c>
      <c r="L498" t="s">
        <v>48</v>
      </c>
      <c r="M498" t="s">
        <v>131</v>
      </c>
      <c r="N498">
        <v>39815.35</v>
      </c>
    </row>
    <row r="499" spans="1:14" ht="14.5" customHeight="1" x14ac:dyDescent="0.35">
      <c r="A499" t="s">
        <v>235</v>
      </c>
      <c r="B499" t="s">
        <v>207</v>
      </c>
      <c r="C499">
        <v>7</v>
      </c>
      <c r="D499" t="s">
        <v>52</v>
      </c>
      <c r="E499" t="s">
        <v>24</v>
      </c>
      <c r="F499" t="s">
        <v>141</v>
      </c>
      <c r="G499" t="s">
        <v>36</v>
      </c>
      <c r="H499">
        <v>181</v>
      </c>
      <c r="I499">
        <v>61</v>
      </c>
      <c r="J499" t="s">
        <v>19</v>
      </c>
      <c r="K499" t="s">
        <v>47</v>
      </c>
      <c r="L499" t="s">
        <v>69</v>
      </c>
      <c r="M499" t="s">
        <v>236</v>
      </c>
      <c r="N499">
        <v>41116.06</v>
      </c>
    </row>
    <row r="500" spans="1:14" ht="14.5" customHeight="1" x14ac:dyDescent="0.35">
      <c r="A500" t="s">
        <v>302</v>
      </c>
      <c r="B500" t="s">
        <v>2418</v>
      </c>
      <c r="C500">
        <v>7</v>
      </c>
      <c r="D500" t="s">
        <v>52</v>
      </c>
      <c r="E500" t="s">
        <v>217</v>
      </c>
      <c r="F500" t="s">
        <v>36</v>
      </c>
      <c r="G500" t="s">
        <v>18</v>
      </c>
      <c r="H500">
        <v>162</v>
      </c>
      <c r="I500">
        <v>117</v>
      </c>
      <c r="J500" t="s">
        <v>94</v>
      </c>
      <c r="K500" t="s">
        <v>65</v>
      </c>
      <c r="L500" t="s">
        <v>55</v>
      </c>
      <c r="M500" t="s">
        <v>303</v>
      </c>
    </row>
    <row r="501" spans="1:14" ht="14.5" customHeight="1" x14ac:dyDescent="0.35">
      <c r="A501" t="s">
        <v>495</v>
      </c>
      <c r="B501" t="s">
        <v>496</v>
      </c>
      <c r="C501">
        <v>7</v>
      </c>
      <c r="D501" t="s">
        <v>138</v>
      </c>
      <c r="E501" t="s">
        <v>24</v>
      </c>
      <c r="F501" t="s">
        <v>273</v>
      </c>
      <c r="G501" t="s">
        <v>80</v>
      </c>
      <c r="H501">
        <v>183</v>
      </c>
      <c r="I501">
        <v>41.7</v>
      </c>
      <c r="J501" t="s">
        <v>20</v>
      </c>
      <c r="K501" t="s">
        <v>47</v>
      </c>
      <c r="L501" t="s">
        <v>175</v>
      </c>
      <c r="M501" t="s">
        <v>497</v>
      </c>
      <c r="N501">
        <v>24490.78</v>
      </c>
    </row>
    <row r="502" spans="1:14" ht="14.5" customHeight="1" x14ac:dyDescent="0.35">
      <c r="A502" t="s">
        <v>599</v>
      </c>
      <c r="B502" t="s">
        <v>600</v>
      </c>
      <c r="C502">
        <v>7</v>
      </c>
      <c r="D502" t="s">
        <v>29</v>
      </c>
      <c r="E502" t="s">
        <v>130</v>
      </c>
      <c r="F502" t="s">
        <v>141</v>
      </c>
      <c r="G502" t="s">
        <v>102</v>
      </c>
      <c r="H502">
        <v>193.4</v>
      </c>
      <c r="I502">
        <v>109.6</v>
      </c>
      <c r="J502" t="s">
        <v>46</v>
      </c>
      <c r="K502" t="s">
        <v>65</v>
      </c>
      <c r="L502" t="s">
        <v>175</v>
      </c>
      <c r="M502" t="s">
        <v>601</v>
      </c>
      <c r="N502">
        <v>18761.509999999998</v>
      </c>
    </row>
    <row r="503" spans="1:14" ht="14.5" customHeight="1" x14ac:dyDescent="0.35">
      <c r="A503" t="s">
        <v>1126</v>
      </c>
      <c r="B503" t="s">
        <v>1127</v>
      </c>
      <c r="C503">
        <v>7</v>
      </c>
      <c r="D503" t="s">
        <v>138</v>
      </c>
      <c r="E503" t="s">
        <v>59</v>
      </c>
      <c r="F503" t="s">
        <v>2517</v>
      </c>
      <c r="G503" t="s">
        <v>102</v>
      </c>
      <c r="H503">
        <v>169.5</v>
      </c>
      <c r="I503">
        <v>78</v>
      </c>
      <c r="K503" t="s">
        <v>142</v>
      </c>
      <c r="L503" t="s">
        <v>86</v>
      </c>
      <c r="M503" t="s">
        <v>1128</v>
      </c>
      <c r="N503">
        <v>41579.730000000003</v>
      </c>
    </row>
    <row r="504" spans="1:14" ht="14.5" customHeight="1" x14ac:dyDescent="0.35">
      <c r="A504" t="s">
        <v>1160</v>
      </c>
      <c r="B504" t="s">
        <v>1161</v>
      </c>
      <c r="C504">
        <v>7</v>
      </c>
      <c r="D504" t="s">
        <v>29</v>
      </c>
      <c r="E504" t="s">
        <v>89</v>
      </c>
      <c r="F504" t="s">
        <v>17</v>
      </c>
      <c r="G504" t="s">
        <v>198</v>
      </c>
      <c r="H504">
        <v>191</v>
      </c>
      <c r="I504">
        <v>93.1</v>
      </c>
      <c r="K504" t="s">
        <v>47</v>
      </c>
      <c r="L504" t="s">
        <v>103</v>
      </c>
      <c r="M504" t="s">
        <v>1162</v>
      </c>
      <c r="N504">
        <v>27483.38</v>
      </c>
    </row>
    <row r="505" spans="1:14" ht="14.5" customHeight="1" x14ac:dyDescent="0.35">
      <c r="A505" t="s">
        <v>1180</v>
      </c>
      <c r="B505" t="s">
        <v>2489</v>
      </c>
      <c r="C505">
        <v>7</v>
      </c>
      <c r="D505" t="s">
        <v>52</v>
      </c>
      <c r="E505" t="s">
        <v>130</v>
      </c>
      <c r="F505" t="s">
        <v>2518</v>
      </c>
      <c r="G505" t="s">
        <v>102</v>
      </c>
      <c r="H505">
        <v>179</v>
      </c>
      <c r="I505">
        <v>80.3</v>
      </c>
      <c r="J505" t="s">
        <v>94</v>
      </c>
      <c r="K505" t="s">
        <v>46</v>
      </c>
      <c r="L505" t="s">
        <v>26</v>
      </c>
      <c r="M505" t="s">
        <v>1181</v>
      </c>
      <c r="N505">
        <v>32841.96</v>
      </c>
    </row>
    <row r="506" spans="1:14" ht="14.5" customHeight="1" x14ac:dyDescent="0.35">
      <c r="A506" t="s">
        <v>1278</v>
      </c>
      <c r="B506" t="s">
        <v>1279</v>
      </c>
      <c r="C506">
        <v>7</v>
      </c>
      <c r="D506" t="s">
        <v>29</v>
      </c>
      <c r="E506" t="s">
        <v>45</v>
      </c>
      <c r="F506" t="s">
        <v>141</v>
      </c>
      <c r="G506" t="s">
        <v>35</v>
      </c>
      <c r="H506">
        <v>175.2</v>
      </c>
      <c r="I506">
        <v>118.3</v>
      </c>
      <c r="J506" t="s">
        <v>85</v>
      </c>
      <c r="K506" t="s">
        <v>19</v>
      </c>
      <c r="L506" t="s">
        <v>226</v>
      </c>
      <c r="M506" t="s">
        <v>550</v>
      </c>
      <c r="N506">
        <v>6307.15</v>
      </c>
    </row>
    <row r="507" spans="1:14" ht="14.5" customHeight="1" x14ac:dyDescent="0.35">
      <c r="A507" t="s">
        <v>1451</v>
      </c>
      <c r="B507" t="s">
        <v>2511</v>
      </c>
      <c r="C507">
        <v>7</v>
      </c>
      <c r="D507" t="s">
        <v>52</v>
      </c>
      <c r="E507" t="s">
        <v>111</v>
      </c>
      <c r="F507" t="s">
        <v>36</v>
      </c>
      <c r="G507" t="s">
        <v>36</v>
      </c>
      <c r="H507">
        <v>159</v>
      </c>
      <c r="I507">
        <v>72</v>
      </c>
      <c r="J507" t="s">
        <v>36</v>
      </c>
      <c r="K507" t="s">
        <v>85</v>
      </c>
      <c r="L507" t="s">
        <v>143</v>
      </c>
      <c r="M507" t="s">
        <v>1452</v>
      </c>
      <c r="N507">
        <v>5309.61</v>
      </c>
    </row>
    <row r="508" spans="1:14" ht="14.5" customHeight="1" x14ac:dyDescent="0.35">
      <c r="A508" t="s">
        <v>263</v>
      </c>
      <c r="B508" t="s">
        <v>963</v>
      </c>
      <c r="C508">
        <v>6</v>
      </c>
      <c r="D508" t="s">
        <v>29</v>
      </c>
      <c r="E508" t="s">
        <v>45</v>
      </c>
      <c r="F508" t="s">
        <v>2518</v>
      </c>
      <c r="G508" t="s">
        <v>36</v>
      </c>
      <c r="H508">
        <v>187</v>
      </c>
      <c r="I508">
        <v>61</v>
      </c>
      <c r="J508" t="s">
        <v>19</v>
      </c>
      <c r="L508" t="s">
        <v>21</v>
      </c>
      <c r="M508" t="s">
        <v>264</v>
      </c>
      <c r="N508">
        <v>1443.62</v>
      </c>
    </row>
    <row r="509" spans="1:14" ht="14.5" customHeight="1" x14ac:dyDescent="0.35">
      <c r="A509" t="s">
        <v>396</v>
      </c>
      <c r="B509" t="s">
        <v>397</v>
      </c>
      <c r="C509">
        <v>6</v>
      </c>
      <c r="D509" t="s">
        <v>29</v>
      </c>
      <c r="E509" t="s">
        <v>111</v>
      </c>
      <c r="F509" t="s">
        <v>120</v>
      </c>
      <c r="G509" t="s">
        <v>112</v>
      </c>
      <c r="H509">
        <v>149</v>
      </c>
      <c r="I509">
        <v>101.1</v>
      </c>
      <c r="J509" t="s">
        <v>20</v>
      </c>
      <c r="L509" t="s">
        <v>42</v>
      </c>
      <c r="M509" t="s">
        <v>398</v>
      </c>
      <c r="N509">
        <v>45039.82</v>
      </c>
    </row>
    <row r="510" spans="1:14" ht="14.5" customHeight="1" x14ac:dyDescent="0.35">
      <c r="A510" t="s">
        <v>785</v>
      </c>
      <c r="B510" t="s">
        <v>672</v>
      </c>
      <c r="C510">
        <v>6</v>
      </c>
      <c r="D510" t="s">
        <v>138</v>
      </c>
      <c r="E510" t="s">
        <v>78</v>
      </c>
      <c r="F510" t="s">
        <v>79</v>
      </c>
      <c r="G510" t="s">
        <v>35</v>
      </c>
      <c r="H510">
        <v>168.6</v>
      </c>
      <c r="I510">
        <v>57.3</v>
      </c>
      <c r="J510" t="s">
        <v>61</v>
      </c>
      <c r="K510" t="s">
        <v>46</v>
      </c>
      <c r="L510" t="s">
        <v>42</v>
      </c>
      <c r="M510" t="s">
        <v>786</v>
      </c>
      <c r="N510">
        <v>6323.72</v>
      </c>
    </row>
    <row r="511" spans="1:14" ht="14.5" customHeight="1" x14ac:dyDescent="0.35">
      <c r="A511" t="s">
        <v>937</v>
      </c>
      <c r="B511" t="s">
        <v>791</v>
      </c>
      <c r="C511">
        <v>6</v>
      </c>
      <c r="D511" t="s">
        <v>138</v>
      </c>
      <c r="E511" t="s">
        <v>84</v>
      </c>
      <c r="F511" t="s">
        <v>17</v>
      </c>
      <c r="G511" t="s">
        <v>36</v>
      </c>
      <c r="H511">
        <v>176</v>
      </c>
      <c r="I511">
        <v>83</v>
      </c>
      <c r="J511" t="s">
        <v>95</v>
      </c>
      <c r="K511" t="s">
        <v>65</v>
      </c>
      <c r="L511" t="s">
        <v>55</v>
      </c>
      <c r="M511" t="s">
        <v>938</v>
      </c>
    </row>
    <row r="512" spans="1:14" ht="14.5" customHeight="1" x14ac:dyDescent="0.35">
      <c r="A512" t="s">
        <v>1032</v>
      </c>
      <c r="B512" t="s">
        <v>2472</v>
      </c>
      <c r="C512">
        <v>6</v>
      </c>
      <c r="D512" t="s">
        <v>29</v>
      </c>
      <c r="E512" t="s">
        <v>89</v>
      </c>
      <c r="F512" t="s">
        <v>273</v>
      </c>
      <c r="G512" t="s">
        <v>208</v>
      </c>
      <c r="H512">
        <v>190.5</v>
      </c>
      <c r="I512">
        <v>59</v>
      </c>
      <c r="J512" t="s">
        <v>19</v>
      </c>
      <c r="L512" t="s">
        <v>48</v>
      </c>
      <c r="M512" t="s">
        <v>1033</v>
      </c>
      <c r="N512">
        <v>4620.68</v>
      </c>
    </row>
    <row r="513" spans="1:14" ht="14.5" customHeight="1" x14ac:dyDescent="0.35">
      <c r="A513" t="s">
        <v>1055</v>
      </c>
      <c r="B513" t="s">
        <v>1056</v>
      </c>
      <c r="C513">
        <v>6</v>
      </c>
      <c r="D513" t="s">
        <v>52</v>
      </c>
      <c r="E513" t="s">
        <v>73</v>
      </c>
      <c r="F513" t="s">
        <v>17</v>
      </c>
      <c r="G513" t="s">
        <v>80</v>
      </c>
      <c r="H513">
        <v>152</v>
      </c>
      <c r="I513">
        <v>73</v>
      </c>
      <c r="J513" t="s">
        <v>94</v>
      </c>
      <c r="K513" t="s">
        <v>20</v>
      </c>
      <c r="L513" t="s">
        <v>86</v>
      </c>
      <c r="M513" t="s">
        <v>1057</v>
      </c>
      <c r="N513">
        <v>5448.41</v>
      </c>
    </row>
    <row r="514" spans="1:14" ht="14.5" customHeight="1" x14ac:dyDescent="0.35">
      <c r="A514" t="s">
        <v>171</v>
      </c>
      <c r="B514" t="s">
        <v>2413</v>
      </c>
      <c r="C514">
        <v>5</v>
      </c>
      <c r="D514" t="s">
        <v>138</v>
      </c>
      <c r="E514" t="s">
        <v>111</v>
      </c>
      <c r="F514" t="s">
        <v>79</v>
      </c>
      <c r="G514" t="s">
        <v>60</v>
      </c>
      <c r="H514">
        <v>186</v>
      </c>
      <c r="I514">
        <v>68.900000000000006</v>
      </c>
      <c r="J514" t="s">
        <v>41</v>
      </c>
      <c r="K514" t="s">
        <v>95</v>
      </c>
      <c r="L514" t="s">
        <v>143</v>
      </c>
      <c r="M514" t="s">
        <v>172</v>
      </c>
      <c r="N514">
        <v>12998.5</v>
      </c>
    </row>
    <row r="515" spans="1:14" ht="14.5" customHeight="1" x14ac:dyDescent="0.35">
      <c r="A515" t="s">
        <v>357</v>
      </c>
      <c r="B515" t="s">
        <v>358</v>
      </c>
      <c r="C515">
        <v>5</v>
      </c>
      <c r="D515" t="s">
        <v>29</v>
      </c>
      <c r="E515" t="s">
        <v>24</v>
      </c>
      <c r="F515" t="s">
        <v>273</v>
      </c>
      <c r="G515" t="s">
        <v>36</v>
      </c>
      <c r="H515">
        <v>191.4</v>
      </c>
      <c r="I515">
        <v>99</v>
      </c>
      <c r="J515" t="s">
        <v>19</v>
      </c>
      <c r="L515" t="s">
        <v>26</v>
      </c>
      <c r="M515" t="s">
        <v>359</v>
      </c>
      <c r="N515">
        <v>19322.560000000001</v>
      </c>
    </row>
    <row r="516" spans="1:14" ht="14.5" customHeight="1" x14ac:dyDescent="0.35">
      <c r="A516" t="s">
        <v>416</v>
      </c>
      <c r="B516" t="s">
        <v>2428</v>
      </c>
      <c r="C516">
        <v>5</v>
      </c>
      <c r="D516" t="s">
        <v>29</v>
      </c>
      <c r="E516" t="s">
        <v>24</v>
      </c>
      <c r="F516" t="s">
        <v>17</v>
      </c>
      <c r="G516" t="s">
        <v>417</v>
      </c>
      <c r="H516">
        <v>174.4</v>
      </c>
      <c r="I516">
        <v>54</v>
      </c>
      <c r="J516" t="s">
        <v>61</v>
      </c>
      <c r="K516" t="s">
        <v>65</v>
      </c>
      <c r="L516" t="s">
        <v>48</v>
      </c>
      <c r="M516" t="s">
        <v>418</v>
      </c>
      <c r="N516">
        <v>2034.16</v>
      </c>
    </row>
    <row r="517" spans="1:14" ht="14.5" customHeight="1" x14ac:dyDescent="0.35">
      <c r="A517" t="s">
        <v>1155</v>
      </c>
      <c r="B517" t="s">
        <v>2485</v>
      </c>
      <c r="C517">
        <v>5</v>
      </c>
      <c r="D517" t="s">
        <v>29</v>
      </c>
      <c r="E517" t="s">
        <v>111</v>
      </c>
      <c r="F517" t="s">
        <v>17</v>
      </c>
      <c r="G517" t="s">
        <v>60</v>
      </c>
      <c r="H517">
        <v>174.4</v>
      </c>
      <c r="I517">
        <v>117.8</v>
      </c>
      <c r="J517" t="s">
        <v>41</v>
      </c>
      <c r="K517" t="s">
        <v>142</v>
      </c>
      <c r="L517" t="s">
        <v>107</v>
      </c>
      <c r="M517" t="s">
        <v>1156</v>
      </c>
      <c r="N517">
        <v>17140.8</v>
      </c>
    </row>
    <row r="518" spans="1:14" ht="14.5" customHeight="1" x14ac:dyDescent="0.35">
      <c r="A518" t="s">
        <v>228</v>
      </c>
      <c r="B518" t="s">
        <v>229</v>
      </c>
      <c r="C518">
        <v>4</v>
      </c>
      <c r="D518" t="s">
        <v>138</v>
      </c>
      <c r="E518" t="s">
        <v>230</v>
      </c>
      <c r="F518" t="s">
        <v>17</v>
      </c>
      <c r="G518" t="s">
        <v>35</v>
      </c>
      <c r="H518">
        <v>193</v>
      </c>
      <c r="I518">
        <v>103</v>
      </c>
      <c r="K518" t="s">
        <v>65</v>
      </c>
      <c r="L518" t="s">
        <v>103</v>
      </c>
      <c r="M518" t="s">
        <v>231</v>
      </c>
      <c r="N518">
        <v>2119.35</v>
      </c>
    </row>
    <row r="519" spans="1:14" ht="14.5" customHeight="1" x14ac:dyDescent="0.35">
      <c r="A519" t="s">
        <v>351</v>
      </c>
      <c r="B519" t="s">
        <v>352</v>
      </c>
      <c r="C519">
        <v>4</v>
      </c>
      <c r="D519" t="s">
        <v>138</v>
      </c>
      <c r="E519" t="s">
        <v>146</v>
      </c>
      <c r="F519" t="s">
        <v>36</v>
      </c>
      <c r="G519" t="s">
        <v>124</v>
      </c>
      <c r="H519">
        <v>167.5</v>
      </c>
      <c r="I519">
        <v>71</v>
      </c>
      <c r="J519" t="s">
        <v>85</v>
      </c>
      <c r="L519" t="s">
        <v>199</v>
      </c>
      <c r="M519" t="s">
        <v>353</v>
      </c>
    </row>
    <row r="520" spans="1:14" ht="14.5" customHeight="1" x14ac:dyDescent="0.35">
      <c r="A520" t="s">
        <v>790</v>
      </c>
      <c r="B520" t="s">
        <v>791</v>
      </c>
      <c r="C520">
        <v>4</v>
      </c>
      <c r="D520" t="s">
        <v>138</v>
      </c>
      <c r="E520" t="s">
        <v>45</v>
      </c>
      <c r="F520" t="s">
        <v>79</v>
      </c>
      <c r="G520" t="s">
        <v>60</v>
      </c>
      <c r="H520">
        <v>174</v>
      </c>
      <c r="I520">
        <v>71</v>
      </c>
      <c r="J520" t="s">
        <v>61</v>
      </c>
      <c r="K520" t="s">
        <v>62</v>
      </c>
      <c r="L520" t="s">
        <v>48</v>
      </c>
      <c r="M520" t="s">
        <v>792</v>
      </c>
      <c r="N520">
        <v>22189.21</v>
      </c>
    </row>
    <row r="521" spans="1:14" ht="14.5" customHeight="1" x14ac:dyDescent="0.35">
      <c r="A521" t="s">
        <v>833</v>
      </c>
      <c r="B521" t="s">
        <v>2460</v>
      </c>
      <c r="C521">
        <v>4</v>
      </c>
      <c r="D521" t="s">
        <v>29</v>
      </c>
      <c r="E521" t="s">
        <v>130</v>
      </c>
      <c r="F521" t="s">
        <v>273</v>
      </c>
      <c r="G521" t="s">
        <v>208</v>
      </c>
      <c r="H521">
        <v>164</v>
      </c>
      <c r="I521">
        <v>130</v>
      </c>
      <c r="J521" t="s">
        <v>65</v>
      </c>
      <c r="K521" t="s">
        <v>20</v>
      </c>
      <c r="L521" t="s">
        <v>143</v>
      </c>
      <c r="M521" t="s">
        <v>834</v>
      </c>
      <c r="N521">
        <v>26917.63</v>
      </c>
    </row>
    <row r="522" spans="1:14" ht="14.5" customHeight="1" x14ac:dyDescent="0.35">
      <c r="A522" t="s">
        <v>1489</v>
      </c>
      <c r="B522" t="s">
        <v>2515</v>
      </c>
      <c r="C522">
        <v>3</v>
      </c>
      <c r="D522" t="s">
        <v>29</v>
      </c>
      <c r="E522" t="s">
        <v>115</v>
      </c>
      <c r="F522" t="s">
        <v>17</v>
      </c>
      <c r="G522" t="s">
        <v>18</v>
      </c>
      <c r="H522">
        <v>1.58</v>
      </c>
      <c r="I522">
        <v>50.5</v>
      </c>
      <c r="J522" t="s">
        <v>94</v>
      </c>
      <c r="L522" t="s">
        <v>103</v>
      </c>
      <c r="M522" t="s">
        <v>1490</v>
      </c>
      <c r="N522">
        <v>14756.53</v>
      </c>
    </row>
    <row r="523" spans="1:14" ht="14.5" customHeight="1" x14ac:dyDescent="0.35">
      <c r="A523" t="s">
        <v>76</v>
      </c>
      <c r="B523" t="s">
        <v>77</v>
      </c>
      <c r="C523">
        <v>2</v>
      </c>
      <c r="D523" t="s">
        <v>138</v>
      </c>
      <c r="E523" t="s">
        <v>78</v>
      </c>
      <c r="F523" t="s">
        <v>79</v>
      </c>
      <c r="G523" t="s">
        <v>80</v>
      </c>
      <c r="H523">
        <v>189</v>
      </c>
      <c r="I523">
        <v>75</v>
      </c>
      <c r="L523" t="s">
        <v>21</v>
      </c>
      <c r="M523" t="s">
        <v>81</v>
      </c>
      <c r="N523">
        <v>49012.33</v>
      </c>
    </row>
    <row r="524" spans="1:14" ht="14.5" customHeight="1" x14ac:dyDescent="0.35">
      <c r="A524" t="s">
        <v>642</v>
      </c>
      <c r="B524" t="s">
        <v>643</v>
      </c>
      <c r="C524">
        <v>2</v>
      </c>
      <c r="D524" t="s">
        <v>29</v>
      </c>
      <c r="E524" t="s">
        <v>84</v>
      </c>
      <c r="F524" t="s">
        <v>17</v>
      </c>
      <c r="G524" t="s">
        <v>102</v>
      </c>
      <c r="H524">
        <v>164</v>
      </c>
      <c r="I524">
        <v>64.8</v>
      </c>
      <c r="J524" t="s">
        <v>65</v>
      </c>
      <c r="K524" t="s">
        <v>65</v>
      </c>
      <c r="L524" t="s">
        <v>21</v>
      </c>
      <c r="M524" t="s">
        <v>644</v>
      </c>
      <c r="N524">
        <v>29534.79</v>
      </c>
    </row>
    <row r="525" spans="1:14" ht="14.5" customHeight="1" x14ac:dyDescent="0.35">
      <c r="A525" t="s">
        <v>846</v>
      </c>
      <c r="B525" t="s">
        <v>490</v>
      </c>
      <c r="C525">
        <v>2</v>
      </c>
      <c r="D525" t="s">
        <v>52</v>
      </c>
      <c r="E525" t="s">
        <v>45</v>
      </c>
      <c r="F525" t="s">
        <v>273</v>
      </c>
      <c r="G525" t="s">
        <v>102</v>
      </c>
      <c r="H525">
        <v>157</v>
      </c>
      <c r="I525">
        <v>110.7</v>
      </c>
      <c r="K525" t="s">
        <v>85</v>
      </c>
      <c r="L525" t="s">
        <v>21</v>
      </c>
      <c r="M525" t="s">
        <v>847</v>
      </c>
      <c r="N525">
        <v>39325.69</v>
      </c>
    </row>
    <row r="526" spans="1:14" ht="14.5" customHeight="1" x14ac:dyDescent="0.35">
      <c r="A526" t="s">
        <v>965</v>
      </c>
      <c r="B526" t="s">
        <v>2468</v>
      </c>
      <c r="C526">
        <v>2</v>
      </c>
      <c r="D526" t="s">
        <v>52</v>
      </c>
      <c r="E526" t="s">
        <v>111</v>
      </c>
      <c r="F526" t="s">
        <v>2518</v>
      </c>
      <c r="G526" t="s">
        <v>280</v>
      </c>
      <c r="H526">
        <v>193</v>
      </c>
      <c r="I526">
        <v>49</v>
      </c>
      <c r="J526" t="s">
        <v>61</v>
      </c>
      <c r="L526" t="s">
        <v>31</v>
      </c>
      <c r="M526" t="s">
        <v>966</v>
      </c>
      <c r="N526">
        <v>29674.34</v>
      </c>
    </row>
    <row r="527" spans="1:14" ht="14.5" customHeight="1" x14ac:dyDescent="0.35">
      <c r="A527" t="s">
        <v>1217</v>
      </c>
      <c r="B527" t="s">
        <v>1218</v>
      </c>
      <c r="C527">
        <v>2</v>
      </c>
      <c r="D527" t="s">
        <v>138</v>
      </c>
      <c r="E527" t="s">
        <v>217</v>
      </c>
      <c r="F527" t="s">
        <v>120</v>
      </c>
      <c r="G527" t="s">
        <v>208</v>
      </c>
      <c r="H527">
        <v>169</v>
      </c>
      <c r="I527">
        <v>57</v>
      </c>
      <c r="J527" t="s">
        <v>61</v>
      </c>
      <c r="K527" t="s">
        <v>62</v>
      </c>
      <c r="L527" t="s">
        <v>48</v>
      </c>
      <c r="M527" t="s">
        <v>1219</v>
      </c>
      <c r="N527">
        <v>31436.15</v>
      </c>
    </row>
    <row r="528" spans="1:14" ht="14.5" customHeight="1" x14ac:dyDescent="0.35">
      <c r="A528" t="s">
        <v>846</v>
      </c>
      <c r="B528" t="s">
        <v>490</v>
      </c>
      <c r="C528">
        <v>2</v>
      </c>
      <c r="D528" t="s">
        <v>52</v>
      </c>
      <c r="E528" t="s">
        <v>45</v>
      </c>
      <c r="F528" t="s">
        <v>273</v>
      </c>
      <c r="G528" t="s">
        <v>102</v>
      </c>
      <c r="H528">
        <v>154</v>
      </c>
      <c r="I528">
        <v>110.7</v>
      </c>
      <c r="K528" t="s">
        <v>85</v>
      </c>
      <c r="L528" t="s">
        <v>21</v>
      </c>
      <c r="M528" t="s">
        <v>847</v>
      </c>
      <c r="N528">
        <v>39325.69</v>
      </c>
    </row>
    <row r="529" spans="1:14" ht="14.5" customHeight="1" x14ac:dyDescent="0.35">
      <c r="A529" t="s">
        <v>1357</v>
      </c>
      <c r="B529" t="s">
        <v>2501</v>
      </c>
      <c r="C529">
        <v>2</v>
      </c>
      <c r="D529" t="s">
        <v>29</v>
      </c>
      <c r="E529" t="s">
        <v>59</v>
      </c>
      <c r="F529" t="s">
        <v>2518</v>
      </c>
      <c r="G529" t="s">
        <v>18</v>
      </c>
      <c r="H529">
        <v>193.2</v>
      </c>
      <c r="I529">
        <v>128</v>
      </c>
      <c r="J529" t="s">
        <v>36</v>
      </c>
      <c r="K529" t="s">
        <v>62</v>
      </c>
      <c r="L529" t="s">
        <v>69</v>
      </c>
      <c r="M529" t="s">
        <v>1358</v>
      </c>
      <c r="N529">
        <v>5113.9399999999996</v>
      </c>
    </row>
    <row r="530" spans="1:14" ht="14.5" customHeight="1" x14ac:dyDescent="0.35">
      <c r="A530" t="s">
        <v>57</v>
      </c>
      <c r="B530" t="s">
        <v>58</v>
      </c>
      <c r="C530">
        <v>1</v>
      </c>
      <c r="D530" t="s">
        <v>29</v>
      </c>
      <c r="E530" t="s">
        <v>59</v>
      </c>
      <c r="F530" t="s">
        <v>2518</v>
      </c>
      <c r="G530" t="s">
        <v>60</v>
      </c>
      <c r="H530">
        <v>157</v>
      </c>
      <c r="I530">
        <v>80</v>
      </c>
      <c r="J530" t="s">
        <v>61</v>
      </c>
      <c r="K530" t="s">
        <v>62</v>
      </c>
      <c r="L530" t="s">
        <v>42</v>
      </c>
      <c r="M530" t="s">
        <v>63</v>
      </c>
      <c r="N530">
        <v>4697.38</v>
      </c>
    </row>
    <row r="531" spans="1:14" ht="14.5" customHeight="1" x14ac:dyDescent="0.35">
      <c r="A531" t="s">
        <v>441</v>
      </c>
      <c r="B531" t="s">
        <v>2430</v>
      </c>
      <c r="C531">
        <v>1</v>
      </c>
      <c r="D531" t="s">
        <v>29</v>
      </c>
      <c r="E531" t="s">
        <v>53</v>
      </c>
      <c r="F531" t="s">
        <v>17</v>
      </c>
      <c r="G531" t="s">
        <v>102</v>
      </c>
      <c r="H531">
        <v>166.3</v>
      </c>
      <c r="I531">
        <v>104</v>
      </c>
      <c r="K531" t="s">
        <v>20</v>
      </c>
      <c r="L531" t="s">
        <v>103</v>
      </c>
      <c r="M531" t="s">
        <v>442</v>
      </c>
      <c r="N531">
        <v>11333.46</v>
      </c>
    </row>
    <row r="532" spans="1:14" ht="14.5" customHeight="1" x14ac:dyDescent="0.35">
      <c r="A532" t="s">
        <v>645</v>
      </c>
      <c r="B532" t="s">
        <v>646</v>
      </c>
      <c r="C532">
        <v>1</v>
      </c>
      <c r="D532" t="s">
        <v>29</v>
      </c>
      <c r="E532" t="s">
        <v>24</v>
      </c>
      <c r="F532" t="s">
        <v>141</v>
      </c>
      <c r="G532" t="s">
        <v>35</v>
      </c>
      <c r="H532">
        <v>163</v>
      </c>
      <c r="I532">
        <v>101.2</v>
      </c>
      <c r="J532" t="s">
        <v>94</v>
      </c>
      <c r="K532" t="s">
        <v>46</v>
      </c>
      <c r="L532" t="s">
        <v>175</v>
      </c>
      <c r="M532" t="s">
        <v>647</v>
      </c>
      <c r="N532">
        <v>11615.14</v>
      </c>
    </row>
    <row r="533" spans="1:14" ht="14.5" customHeight="1" x14ac:dyDescent="0.35">
      <c r="A533" t="s">
        <v>1371</v>
      </c>
      <c r="B533" t="s">
        <v>1372</v>
      </c>
      <c r="C533">
        <v>1</v>
      </c>
      <c r="D533" t="s">
        <v>29</v>
      </c>
      <c r="E533" t="s">
        <v>230</v>
      </c>
      <c r="F533" t="s">
        <v>17</v>
      </c>
      <c r="G533" t="s">
        <v>36</v>
      </c>
      <c r="H533">
        <v>194.2</v>
      </c>
      <c r="I533">
        <v>90.1</v>
      </c>
      <c r="J533" t="s">
        <v>65</v>
      </c>
      <c r="K533" t="s">
        <v>19</v>
      </c>
      <c r="L533" t="s">
        <v>26</v>
      </c>
      <c r="M533" t="s">
        <v>1373</v>
      </c>
      <c r="N533">
        <v>5106.68</v>
      </c>
    </row>
    <row r="534" spans="1:14" ht="14.5" customHeight="1" x14ac:dyDescent="0.35">
      <c r="A534" t="s">
        <v>1383</v>
      </c>
      <c r="B534" t="s">
        <v>1384</v>
      </c>
      <c r="C534">
        <v>1</v>
      </c>
      <c r="D534" t="s">
        <v>29</v>
      </c>
      <c r="E534" t="s">
        <v>53</v>
      </c>
      <c r="F534" t="s">
        <v>2517</v>
      </c>
      <c r="G534" t="s">
        <v>280</v>
      </c>
      <c r="H534">
        <v>165</v>
      </c>
      <c r="I534">
        <v>67</v>
      </c>
      <c r="J534" t="s">
        <v>36</v>
      </c>
      <c r="L534" t="s">
        <v>175</v>
      </c>
      <c r="M534" t="s">
        <v>1385</v>
      </c>
      <c r="N534">
        <v>16023.44</v>
      </c>
    </row>
    <row r="535" spans="1:14" ht="14.5" customHeight="1" x14ac:dyDescent="0.35">
      <c r="A535" t="s">
        <v>186</v>
      </c>
      <c r="B535" t="s">
        <v>187</v>
      </c>
      <c r="C535">
        <v>0</v>
      </c>
      <c r="D535" t="s">
        <v>52</v>
      </c>
      <c r="E535" t="s">
        <v>24</v>
      </c>
      <c r="F535" t="s">
        <v>2518</v>
      </c>
      <c r="G535" t="s">
        <v>124</v>
      </c>
      <c r="H535">
        <v>152</v>
      </c>
      <c r="I535">
        <v>82.6</v>
      </c>
      <c r="J535" t="s">
        <v>36</v>
      </c>
      <c r="K535" t="s">
        <v>47</v>
      </c>
      <c r="L535" t="s">
        <v>48</v>
      </c>
      <c r="M535" t="s">
        <v>188</v>
      </c>
      <c r="N535">
        <v>44562.53</v>
      </c>
    </row>
    <row r="536" spans="1:14" ht="14.5" customHeight="1" x14ac:dyDescent="0.35">
      <c r="A536" t="s">
        <v>210</v>
      </c>
      <c r="B536" t="s">
        <v>211</v>
      </c>
      <c r="C536">
        <v>-5</v>
      </c>
      <c r="D536" t="s">
        <v>29</v>
      </c>
      <c r="E536" t="s">
        <v>24</v>
      </c>
      <c r="F536" t="s">
        <v>134</v>
      </c>
      <c r="G536" t="s">
        <v>35</v>
      </c>
      <c r="H536">
        <v>157</v>
      </c>
      <c r="I536">
        <v>108.6</v>
      </c>
      <c r="K536" t="s">
        <v>65</v>
      </c>
      <c r="L536" t="s">
        <v>21</v>
      </c>
      <c r="M536" t="s">
        <v>212</v>
      </c>
      <c r="N536">
        <v>41048.46</v>
      </c>
    </row>
    <row r="537" spans="1:14" ht="14.5" customHeight="1" x14ac:dyDescent="0.35">
      <c r="A537" t="s">
        <v>656</v>
      </c>
      <c r="B537" t="s">
        <v>657</v>
      </c>
      <c r="C537">
        <v>-5</v>
      </c>
      <c r="D537" t="s">
        <v>138</v>
      </c>
      <c r="E537" t="s">
        <v>24</v>
      </c>
      <c r="F537" t="s">
        <v>17</v>
      </c>
      <c r="G537" t="s">
        <v>18</v>
      </c>
      <c r="H537">
        <v>187</v>
      </c>
      <c r="I537">
        <v>51</v>
      </c>
      <c r="J537" t="s">
        <v>65</v>
      </c>
      <c r="K537" t="s">
        <v>46</v>
      </c>
      <c r="L537" t="s">
        <v>48</v>
      </c>
      <c r="M537" t="s">
        <v>658</v>
      </c>
      <c r="N537">
        <v>20405.900000000001</v>
      </c>
    </row>
    <row r="538" spans="1:14" ht="14.5" customHeight="1" x14ac:dyDescent="0.35">
      <c r="A538" t="s">
        <v>729</v>
      </c>
      <c r="B538" t="s">
        <v>730</v>
      </c>
      <c r="C538">
        <v>-5</v>
      </c>
      <c r="D538" t="s">
        <v>29</v>
      </c>
      <c r="E538" t="s">
        <v>78</v>
      </c>
      <c r="F538" t="s">
        <v>134</v>
      </c>
      <c r="G538" t="s">
        <v>160</v>
      </c>
      <c r="H538">
        <v>155</v>
      </c>
      <c r="I538">
        <v>42</v>
      </c>
      <c r="J538" t="s">
        <v>19</v>
      </c>
      <c r="K538" t="s">
        <v>85</v>
      </c>
      <c r="L538" t="s">
        <v>55</v>
      </c>
      <c r="M538" t="s">
        <v>731</v>
      </c>
      <c r="N538">
        <v>32936.160000000003</v>
      </c>
    </row>
    <row r="539" spans="1:14" ht="14.5" customHeight="1" x14ac:dyDescent="0.35">
      <c r="A539" t="s">
        <v>751</v>
      </c>
      <c r="B539" t="s">
        <v>752</v>
      </c>
      <c r="D539" t="s">
        <v>138</v>
      </c>
      <c r="E539" t="s">
        <v>130</v>
      </c>
      <c r="F539" t="s">
        <v>36</v>
      </c>
      <c r="G539" t="s">
        <v>160</v>
      </c>
      <c r="H539">
        <v>1.8</v>
      </c>
      <c r="I539">
        <v>74</v>
      </c>
      <c r="J539" t="s">
        <v>20</v>
      </c>
      <c r="K539" t="s">
        <v>62</v>
      </c>
      <c r="L539" t="s">
        <v>21</v>
      </c>
      <c r="M539" t="s">
        <v>753</v>
      </c>
      <c r="N539">
        <v>22807.71</v>
      </c>
    </row>
    <row r="540" spans="1:14" ht="14.5" customHeight="1" x14ac:dyDescent="0.35">
      <c r="A540" t="s">
        <v>853</v>
      </c>
      <c r="B540" t="s">
        <v>854</v>
      </c>
      <c r="D540" t="s">
        <v>138</v>
      </c>
      <c r="E540" t="s">
        <v>78</v>
      </c>
      <c r="F540" t="s">
        <v>79</v>
      </c>
      <c r="G540" t="s">
        <v>102</v>
      </c>
      <c r="H540">
        <v>179</v>
      </c>
      <c r="I540">
        <v>71.7</v>
      </c>
      <c r="J540" t="s">
        <v>20</v>
      </c>
      <c r="K540" t="s">
        <v>142</v>
      </c>
      <c r="L540" t="s">
        <v>107</v>
      </c>
      <c r="M540" t="s">
        <v>855</v>
      </c>
      <c r="N540">
        <v>13255.13</v>
      </c>
    </row>
    <row r="541" spans="1:14" ht="14.5" customHeight="1" x14ac:dyDescent="0.35">
      <c r="A541" t="s">
        <v>867</v>
      </c>
      <c r="B541" t="s">
        <v>868</v>
      </c>
      <c r="D541" t="s">
        <v>138</v>
      </c>
      <c r="E541" t="s">
        <v>111</v>
      </c>
      <c r="F541" t="s">
        <v>134</v>
      </c>
      <c r="G541" t="s">
        <v>160</v>
      </c>
      <c r="H541">
        <v>175.4</v>
      </c>
      <c r="I541">
        <v>96</v>
      </c>
      <c r="J541" t="s">
        <v>85</v>
      </c>
      <c r="K541" t="s">
        <v>19</v>
      </c>
      <c r="L541" t="s">
        <v>226</v>
      </c>
      <c r="M541" t="s">
        <v>869</v>
      </c>
      <c r="N541">
        <v>34419.57</v>
      </c>
    </row>
    <row r="542" spans="1:14" ht="14.5" customHeight="1" x14ac:dyDescent="0.35">
      <c r="A542" t="s">
        <v>924</v>
      </c>
      <c r="B542" t="s">
        <v>2467</v>
      </c>
      <c r="D542" t="s">
        <v>52</v>
      </c>
      <c r="E542" t="s">
        <v>230</v>
      </c>
      <c r="F542" t="s">
        <v>2518</v>
      </c>
      <c r="G542" t="s">
        <v>208</v>
      </c>
      <c r="H542">
        <v>178</v>
      </c>
      <c r="I542">
        <v>113.8</v>
      </c>
      <c r="J542" t="s">
        <v>36</v>
      </c>
      <c r="L542" t="s">
        <v>31</v>
      </c>
      <c r="M542" t="s">
        <v>925</v>
      </c>
    </row>
    <row r="543" spans="1:14" ht="14.5" customHeight="1" x14ac:dyDescent="0.35">
      <c r="A543" t="s">
        <v>945</v>
      </c>
      <c r="B543" t="s">
        <v>946</v>
      </c>
      <c r="D543" t="s">
        <v>138</v>
      </c>
      <c r="E543" t="s">
        <v>45</v>
      </c>
      <c r="F543" t="s">
        <v>36</v>
      </c>
      <c r="G543" t="s">
        <v>295</v>
      </c>
      <c r="H543">
        <v>194</v>
      </c>
      <c r="I543">
        <v>90.1</v>
      </c>
      <c r="J543" t="s">
        <v>94</v>
      </c>
      <c r="K543" t="s">
        <v>30</v>
      </c>
      <c r="L543" t="s">
        <v>69</v>
      </c>
      <c r="M543" t="s">
        <v>947</v>
      </c>
      <c r="N543">
        <v>34974.620000000003</v>
      </c>
    </row>
    <row r="544" spans="1:14" ht="14.5" customHeight="1" x14ac:dyDescent="0.35">
      <c r="A544" t="s">
        <v>1170</v>
      </c>
      <c r="B544" t="s">
        <v>1171</v>
      </c>
      <c r="D544" t="s">
        <v>29</v>
      </c>
      <c r="E544" t="s">
        <v>146</v>
      </c>
      <c r="F544" t="s">
        <v>17</v>
      </c>
      <c r="G544" t="s">
        <v>102</v>
      </c>
      <c r="H544">
        <v>166.1</v>
      </c>
      <c r="I544">
        <v>102.1</v>
      </c>
      <c r="J544" t="s">
        <v>46</v>
      </c>
      <c r="K544" t="s">
        <v>30</v>
      </c>
      <c r="L544" t="s">
        <v>69</v>
      </c>
      <c r="M544" t="s">
        <v>1172</v>
      </c>
      <c r="N544">
        <v>8107.72</v>
      </c>
    </row>
    <row r="545" spans="1:14" ht="14.5" customHeight="1" x14ac:dyDescent="0.35">
      <c r="A545" t="s">
        <v>1182</v>
      </c>
      <c r="B545" t="s">
        <v>1183</v>
      </c>
      <c r="D545" t="s">
        <v>52</v>
      </c>
      <c r="E545" t="s">
        <v>84</v>
      </c>
      <c r="F545" t="s">
        <v>36</v>
      </c>
      <c r="G545" t="s">
        <v>35</v>
      </c>
      <c r="H545">
        <v>151</v>
      </c>
      <c r="I545">
        <v>88.2</v>
      </c>
      <c r="J545" t="s">
        <v>19</v>
      </c>
      <c r="K545" t="s">
        <v>142</v>
      </c>
      <c r="L545" t="s">
        <v>199</v>
      </c>
      <c r="M545" t="s">
        <v>1184</v>
      </c>
      <c r="N545">
        <v>5797.31</v>
      </c>
    </row>
    <row r="546" spans="1:14" ht="14.5" customHeight="1" x14ac:dyDescent="0.35">
      <c r="A546" t="s">
        <v>1203</v>
      </c>
      <c r="B546" t="s">
        <v>1204</v>
      </c>
      <c r="D546" t="s">
        <v>29</v>
      </c>
      <c r="E546" t="s">
        <v>115</v>
      </c>
      <c r="F546" t="s">
        <v>36</v>
      </c>
      <c r="G546" t="s">
        <v>25</v>
      </c>
      <c r="H546">
        <v>160</v>
      </c>
      <c r="I546">
        <v>85</v>
      </c>
      <c r="K546" t="s">
        <v>19</v>
      </c>
      <c r="L546" t="s">
        <v>69</v>
      </c>
      <c r="M546" t="s">
        <v>1205</v>
      </c>
      <c r="N546">
        <v>8118.96</v>
      </c>
    </row>
    <row r="547" spans="1:14" ht="14.5" customHeight="1" x14ac:dyDescent="0.35">
      <c r="A547" t="s">
        <v>1337</v>
      </c>
      <c r="B547" t="s">
        <v>2440</v>
      </c>
      <c r="D547" t="s">
        <v>29</v>
      </c>
      <c r="E547" t="s">
        <v>45</v>
      </c>
      <c r="F547" t="s">
        <v>36</v>
      </c>
      <c r="G547" t="s">
        <v>295</v>
      </c>
      <c r="H547">
        <v>182</v>
      </c>
      <c r="I547">
        <v>85</v>
      </c>
      <c r="K547" t="s">
        <v>85</v>
      </c>
      <c r="L547" t="s">
        <v>199</v>
      </c>
      <c r="M547" t="s">
        <v>1338</v>
      </c>
      <c r="N547">
        <v>11532.53</v>
      </c>
    </row>
    <row r="548" spans="1:14" ht="14.5" customHeight="1" x14ac:dyDescent="0.35">
      <c r="A548" t="s">
        <v>1431</v>
      </c>
      <c r="B548" t="s">
        <v>2508</v>
      </c>
      <c r="D548" t="s">
        <v>138</v>
      </c>
      <c r="E548" t="s">
        <v>89</v>
      </c>
      <c r="F548" t="s">
        <v>79</v>
      </c>
      <c r="G548" t="s">
        <v>60</v>
      </c>
      <c r="H548">
        <v>184.6</v>
      </c>
      <c r="I548">
        <v>58.6</v>
      </c>
      <c r="J548" t="s">
        <v>61</v>
      </c>
      <c r="K548" t="s">
        <v>62</v>
      </c>
      <c r="L548" t="s">
        <v>103</v>
      </c>
      <c r="M548" t="s">
        <v>1432</v>
      </c>
    </row>
    <row r="549" spans="1:14" ht="14.5" customHeight="1" x14ac:dyDescent="0.35">
      <c r="A549" t="s">
        <v>1433</v>
      </c>
      <c r="B549" t="s">
        <v>1434</v>
      </c>
      <c r="D549" t="s">
        <v>29</v>
      </c>
      <c r="E549" t="s">
        <v>53</v>
      </c>
      <c r="F549" t="s">
        <v>120</v>
      </c>
      <c r="G549" t="s">
        <v>54</v>
      </c>
      <c r="H549">
        <v>193.2</v>
      </c>
      <c r="I549">
        <v>45</v>
      </c>
      <c r="J549" t="s">
        <v>46</v>
      </c>
      <c r="K549" t="s">
        <v>30</v>
      </c>
      <c r="L549" t="s">
        <v>107</v>
      </c>
      <c r="M549" t="s">
        <v>1435</v>
      </c>
      <c r="N549">
        <v>44890.28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2"/>
  <sheetViews>
    <sheetView zoomScale="56" workbookViewId="0">
      <selection activeCell="V4" sqref="V4"/>
    </sheetView>
  </sheetViews>
  <sheetFormatPr defaultRowHeight="14.5" x14ac:dyDescent="0.35"/>
  <cols>
    <col min="1" max="1" width="12" bestFit="1" customWidth="1"/>
    <col min="2" max="2" width="17.54296875" bestFit="1" customWidth="1"/>
    <col min="3" max="3" width="6.36328125" bestFit="1" customWidth="1"/>
    <col min="4" max="4" width="9.26953125" bestFit="1" customWidth="1"/>
    <col min="5" max="5" width="11" bestFit="1" customWidth="1"/>
    <col min="6" max="6" width="14.1796875" bestFit="1" customWidth="1"/>
    <col min="7" max="7" width="20.1796875" bestFit="1" customWidth="1"/>
    <col min="8" max="9" width="12" bestFit="1" customWidth="1"/>
    <col min="10" max="10" width="16.54296875" bestFit="1" customWidth="1"/>
    <col min="11" max="11" width="15.453125" bestFit="1" customWidth="1"/>
    <col min="12" max="12" width="15.54296875" bestFit="1" customWidth="1"/>
    <col min="13" max="13" width="16.81640625" customWidth="1"/>
    <col min="14" max="14" width="16.81640625" style="5" customWidth="1"/>
    <col min="15" max="15" width="13.36328125" bestFit="1" customWidth="1"/>
    <col min="16" max="16" width="13.36328125" customWidth="1"/>
    <col min="17" max="17" width="10.90625" bestFit="1" customWidth="1"/>
    <col min="18" max="18" width="13.36328125" customWidth="1"/>
    <col min="19" max="19" width="11.54296875" bestFit="1" customWidth="1"/>
    <col min="20" max="20" width="17.26953125" customWidth="1"/>
    <col min="21" max="21" width="18.26953125" customWidth="1"/>
  </cols>
  <sheetData>
    <row r="1" spans="1:21" x14ac:dyDescent="0.35">
      <c r="A1" s="2" t="s">
        <v>0</v>
      </c>
      <c r="B1" s="2" t="s">
        <v>1</v>
      </c>
      <c r="C1" s="2" t="s">
        <v>2</v>
      </c>
      <c r="D1" s="2" t="s">
        <v>3</v>
      </c>
      <c r="E1" s="2" t="s">
        <v>4</v>
      </c>
      <c r="F1" s="2" t="s">
        <v>5</v>
      </c>
      <c r="G1" s="2" t="s">
        <v>6</v>
      </c>
      <c r="H1" s="2" t="s">
        <v>7</v>
      </c>
      <c r="I1" s="2" t="s">
        <v>8</v>
      </c>
      <c r="J1" s="2" t="s">
        <v>9</v>
      </c>
      <c r="K1" s="2" t="s">
        <v>10</v>
      </c>
      <c r="L1" s="2" t="s">
        <v>11</v>
      </c>
      <c r="M1" s="2" t="s">
        <v>12</v>
      </c>
      <c r="N1" s="2" t="s">
        <v>2530</v>
      </c>
      <c r="O1" s="5" t="s">
        <v>2529</v>
      </c>
      <c r="P1" s="2" t="s">
        <v>2528</v>
      </c>
      <c r="Q1" s="2" t="s">
        <v>2531</v>
      </c>
      <c r="R1" s="2" t="s">
        <v>2541</v>
      </c>
      <c r="S1" s="2" t="s">
        <v>1591</v>
      </c>
      <c r="T1" s="2" t="s">
        <v>2520</v>
      </c>
      <c r="U1" t="s">
        <v>2532</v>
      </c>
    </row>
    <row r="2" spans="1:21" x14ac:dyDescent="0.35">
      <c r="A2" s="2" t="s">
        <v>922</v>
      </c>
      <c r="B2" s="2" t="s">
        <v>2466</v>
      </c>
      <c r="C2" s="2">
        <v>14</v>
      </c>
      <c r="D2" s="2" t="s">
        <v>29</v>
      </c>
      <c r="E2" s="2" t="s">
        <v>111</v>
      </c>
      <c r="F2" s="2" t="s">
        <v>79</v>
      </c>
      <c r="G2" s="2" t="s">
        <v>74</v>
      </c>
      <c r="H2" s="2">
        <v>156.69999999999999</v>
      </c>
      <c r="I2" s="2">
        <v>94</v>
      </c>
      <c r="J2" s="2" t="s">
        <v>36</v>
      </c>
      <c r="K2" s="2" t="s">
        <v>36</v>
      </c>
      <c r="L2" s="2" t="s">
        <v>55</v>
      </c>
      <c r="M2" s="3">
        <v>45056</v>
      </c>
      <c r="N2" s="4">
        <f>Table1_3[[#This Row],[Admission_Date]]</f>
        <v>45056</v>
      </c>
      <c r="O2" s="5">
        <f>Table1_3[[#This Row],[Admission_Date]]</f>
        <v>45056</v>
      </c>
      <c r="P2" s="2">
        <v>22735.85</v>
      </c>
      <c r="Q2" s="2">
        <f t="shared" ref="Q2:Q65" si="0">SUMPRODUCT(($L$2:$L$5000=L2)*($O$2:$O$5000&gt;P2))+1</f>
        <v>42</v>
      </c>
      <c r="R2" s="2" t="s">
        <v>2521</v>
      </c>
      <c r="S2" s="2">
        <v>38.28158057315671</v>
      </c>
      <c r="T2" s="2" t="s">
        <v>2522</v>
      </c>
      <c r="U2" t="str">
        <f>INDEX(Table2[Doctor_Name],MATCH(Table1_3[[#This Row],[Department]],Table2[Department],0))</f>
        <v>Dr. Sunita Sanchez</v>
      </c>
    </row>
    <row r="3" spans="1:21" x14ac:dyDescent="0.35">
      <c r="A3" s="2" t="s">
        <v>570</v>
      </c>
      <c r="B3" s="2" t="s">
        <v>571</v>
      </c>
      <c r="C3" s="2">
        <v>44</v>
      </c>
      <c r="D3" s="2" t="s">
        <v>138</v>
      </c>
      <c r="E3" s="2" t="s">
        <v>45</v>
      </c>
      <c r="F3" s="2" t="s">
        <v>2518</v>
      </c>
      <c r="G3" s="2" t="s">
        <v>198</v>
      </c>
      <c r="H3" s="2">
        <v>158</v>
      </c>
      <c r="I3" s="2">
        <v>106</v>
      </c>
      <c r="J3" s="2" t="s">
        <v>65</v>
      </c>
      <c r="K3" s="2" t="s">
        <v>65</v>
      </c>
      <c r="L3" s="2" t="s">
        <v>175</v>
      </c>
      <c r="M3" s="3">
        <v>44797</v>
      </c>
      <c r="N3" s="4">
        <f>Table1_3[[#This Row],[Admission_Date]]</f>
        <v>44797</v>
      </c>
      <c r="O3" s="5">
        <f>Table1_3[[#This Row],[Admission_Date]]</f>
        <v>44797</v>
      </c>
      <c r="P3" s="2">
        <v>31116.73</v>
      </c>
      <c r="Q3" s="2">
        <f t="shared" si="0"/>
        <v>38</v>
      </c>
      <c r="R3" s="2" t="s">
        <v>2523</v>
      </c>
      <c r="S3" s="2">
        <v>42.461144047428292</v>
      </c>
      <c r="T3" s="2" t="s">
        <v>2522</v>
      </c>
      <c r="U3" t="str">
        <f>INDEX(Table2[Doctor_Name],MATCH(Table1_3[[#This Row],[Department]],Table2[Department],0))</f>
        <v>Dr. Arvind Wilson</v>
      </c>
    </row>
    <row r="4" spans="1:21" x14ac:dyDescent="0.35">
      <c r="A4" s="2" t="s">
        <v>884</v>
      </c>
      <c r="B4" s="2" t="s">
        <v>885</v>
      </c>
      <c r="C4" s="2">
        <v>30</v>
      </c>
      <c r="D4" s="2" t="s">
        <v>138</v>
      </c>
      <c r="E4" s="2" t="s">
        <v>45</v>
      </c>
      <c r="F4" s="2" t="s">
        <v>2518</v>
      </c>
      <c r="G4" s="2" t="s">
        <v>417</v>
      </c>
      <c r="H4" s="2">
        <v>186.5</v>
      </c>
      <c r="I4" s="2">
        <v>58.9</v>
      </c>
      <c r="J4" s="2" t="s">
        <v>36</v>
      </c>
      <c r="K4" s="2" t="s">
        <v>36</v>
      </c>
      <c r="L4" s="2" t="s">
        <v>143</v>
      </c>
      <c r="M4" s="3">
        <v>44343</v>
      </c>
      <c r="N4" s="4">
        <f>Table1_3[[#This Row],[Admission_Date]]</f>
        <v>44343</v>
      </c>
      <c r="O4" s="5">
        <f>Table1_3[[#This Row],[Admission_Date]]</f>
        <v>44343</v>
      </c>
      <c r="P4" s="2">
        <v>31931.43</v>
      </c>
      <c r="Q4" s="2">
        <f t="shared" si="0"/>
        <v>35</v>
      </c>
      <c r="R4" s="2" t="s">
        <v>2523</v>
      </c>
      <c r="S4" s="2">
        <v>16.933924631097756</v>
      </c>
      <c r="T4" s="2" t="s">
        <v>2524</v>
      </c>
      <c r="U4" t="str">
        <f>INDEX(Table2[Doctor_Name],MATCH(Table1_3[[#This Row],[Department]],Table2[Department],0))</f>
        <v>Dr. Neha Liu</v>
      </c>
    </row>
    <row r="5" spans="1:21" x14ac:dyDescent="0.35">
      <c r="A5" s="2" t="s">
        <v>1436</v>
      </c>
      <c r="B5" s="2" t="s">
        <v>2509</v>
      </c>
      <c r="C5" s="2">
        <v>8</v>
      </c>
      <c r="D5" s="2" t="s">
        <v>138</v>
      </c>
      <c r="E5" s="2" t="s">
        <v>146</v>
      </c>
      <c r="F5" s="2" t="s">
        <v>17</v>
      </c>
      <c r="G5" s="2" t="s">
        <v>102</v>
      </c>
      <c r="H5" s="2">
        <v>155.5</v>
      </c>
      <c r="I5" s="2">
        <v>84.9</v>
      </c>
      <c r="J5" s="2" t="s">
        <v>19</v>
      </c>
      <c r="K5" s="2" t="s">
        <v>19</v>
      </c>
      <c r="L5" s="2" t="s">
        <v>69</v>
      </c>
      <c r="M5" s="3">
        <v>44702</v>
      </c>
      <c r="N5" s="4">
        <f>Table1_3[[#This Row],[Admission_Date]]</f>
        <v>44702</v>
      </c>
      <c r="O5" s="5">
        <f>Table1_3[[#This Row],[Admission_Date]]</f>
        <v>44702</v>
      </c>
      <c r="P5" s="2">
        <v>28287.72</v>
      </c>
      <c r="Q5" s="2">
        <f t="shared" si="0"/>
        <v>107</v>
      </c>
      <c r="R5" s="2" t="s">
        <v>2521</v>
      </c>
      <c r="S5" s="2">
        <v>35.111299510964535</v>
      </c>
      <c r="T5" s="2" t="s">
        <v>2522</v>
      </c>
      <c r="U5" t="str">
        <f>INDEX(Table2[Doctor_Name],MATCH(Table1_3[[#This Row],[Department]],Table2[Department],0))</f>
        <v>Dr. Vikram Wang</v>
      </c>
    </row>
    <row r="6" spans="1:21" x14ac:dyDescent="0.35">
      <c r="A6" s="2" t="s">
        <v>1089</v>
      </c>
      <c r="B6" s="2" t="s">
        <v>2479</v>
      </c>
      <c r="C6" s="2">
        <v>66</v>
      </c>
      <c r="D6" s="2" t="s">
        <v>138</v>
      </c>
      <c r="E6" s="2" t="s">
        <v>45</v>
      </c>
      <c r="F6" s="2" t="s">
        <v>141</v>
      </c>
      <c r="G6" s="2" t="s">
        <v>35</v>
      </c>
      <c r="H6" s="2">
        <v>160.9</v>
      </c>
      <c r="I6" s="2">
        <v>74.599999999999994</v>
      </c>
      <c r="J6" s="2" t="s">
        <v>19</v>
      </c>
      <c r="K6" s="2" t="s">
        <v>19</v>
      </c>
      <c r="L6" s="2" t="s">
        <v>175</v>
      </c>
      <c r="M6" s="3">
        <v>44220</v>
      </c>
      <c r="N6" s="4">
        <f>Table1_3[[#This Row],[Admission_Date]]</f>
        <v>44220</v>
      </c>
      <c r="O6" s="5">
        <f>Table1_3[[#This Row],[Admission_Date]]</f>
        <v>44220</v>
      </c>
      <c r="P6" s="2">
        <v>36175.730000000003</v>
      </c>
      <c r="Q6" s="2">
        <f t="shared" si="0"/>
        <v>38</v>
      </c>
      <c r="R6" s="2" t="s">
        <v>2525</v>
      </c>
      <c r="S6" s="2">
        <v>28.815538450782405</v>
      </c>
      <c r="T6" s="2" t="s">
        <v>2526</v>
      </c>
      <c r="U6" t="str">
        <f>INDEX(Table2[Doctor_Name],MATCH(Table1_3[[#This Row],[Department]],Table2[Department],0))</f>
        <v>Dr. Arvind Wilson</v>
      </c>
    </row>
    <row r="7" spans="1:21" x14ac:dyDescent="0.35">
      <c r="A7" s="2" t="s">
        <v>1374</v>
      </c>
      <c r="B7" s="2" t="s">
        <v>2502</v>
      </c>
      <c r="C7" s="2">
        <v>59</v>
      </c>
      <c r="D7" s="2" t="s">
        <v>29</v>
      </c>
      <c r="E7" s="2" t="s">
        <v>111</v>
      </c>
      <c r="F7" s="2" t="s">
        <v>273</v>
      </c>
      <c r="G7" s="2" t="s">
        <v>160</v>
      </c>
      <c r="H7" s="2">
        <v>183</v>
      </c>
      <c r="I7" s="2">
        <v>67</v>
      </c>
      <c r="J7" s="2" t="s">
        <v>19</v>
      </c>
      <c r="K7" s="2" t="s">
        <v>65</v>
      </c>
      <c r="L7" s="2" t="s">
        <v>42</v>
      </c>
      <c r="M7" s="3">
        <v>44527</v>
      </c>
      <c r="N7" s="4">
        <f>Table1_3[[#This Row],[Admission_Date]]</f>
        <v>44527</v>
      </c>
      <c r="O7" s="5">
        <f>Table1_3[[#This Row],[Admission_Date]]</f>
        <v>44527</v>
      </c>
      <c r="P7" s="2">
        <v>47698.239999999998</v>
      </c>
      <c r="Q7" s="2">
        <f t="shared" si="0"/>
        <v>1</v>
      </c>
      <c r="R7" s="2" t="s">
        <v>2523</v>
      </c>
      <c r="S7" s="2">
        <v>20.006569321269669</v>
      </c>
      <c r="T7" s="2" t="s">
        <v>1567</v>
      </c>
      <c r="U7" t="str">
        <f>INDEX(Table2[Doctor_Name],MATCH(Table1_3[[#This Row],[Department]],Table2[Department],0))</f>
        <v>Dr. Rahul Nair</v>
      </c>
    </row>
    <row r="8" spans="1:21" x14ac:dyDescent="0.35">
      <c r="A8" s="2" t="s">
        <v>507</v>
      </c>
      <c r="B8" s="2" t="s">
        <v>2435</v>
      </c>
      <c r="C8" s="2">
        <v>40</v>
      </c>
      <c r="D8" s="2" t="s">
        <v>138</v>
      </c>
      <c r="E8" s="2" t="s">
        <v>146</v>
      </c>
      <c r="F8" s="2" t="s">
        <v>2517</v>
      </c>
      <c r="G8" s="2" t="s">
        <v>74</v>
      </c>
      <c r="H8" s="2">
        <v>152.9</v>
      </c>
      <c r="I8" s="2">
        <v>128</v>
      </c>
      <c r="J8" s="2" t="s">
        <v>19</v>
      </c>
      <c r="K8" s="2" t="s">
        <v>36</v>
      </c>
      <c r="L8" s="2" t="s">
        <v>31</v>
      </c>
      <c r="M8" s="3">
        <v>44328</v>
      </c>
      <c r="N8" s="4">
        <f>Table1_3[[#This Row],[Admission_Date]]</f>
        <v>44328</v>
      </c>
      <c r="O8" s="5">
        <f>Table1_3[[#This Row],[Admission_Date]]</f>
        <v>44328</v>
      </c>
      <c r="P8" s="2">
        <v>26619.85</v>
      </c>
      <c r="Q8" s="2">
        <f t="shared" si="0"/>
        <v>37</v>
      </c>
      <c r="R8" s="2" t="s">
        <v>2523</v>
      </c>
      <c r="S8" s="2">
        <v>54.751371029937438</v>
      </c>
      <c r="T8" s="2" t="s">
        <v>2522</v>
      </c>
      <c r="U8" t="str">
        <f>INDEX(Table2[Doctor_Name],MATCH(Table1_3[[#This Row],[Department]],Table2[Department],0))</f>
        <v>Dr. Arvind Chen</v>
      </c>
    </row>
    <row r="9" spans="1:21" x14ac:dyDescent="0.35">
      <c r="A9" s="2" t="s">
        <v>67</v>
      </c>
      <c r="B9" s="2" t="s">
        <v>68</v>
      </c>
      <c r="C9" s="2">
        <v>86</v>
      </c>
      <c r="D9" s="2" t="s">
        <v>29</v>
      </c>
      <c r="E9" s="2" t="s">
        <v>146</v>
      </c>
      <c r="F9" s="2" t="s">
        <v>2517</v>
      </c>
      <c r="G9" s="2" t="s">
        <v>160</v>
      </c>
      <c r="H9" s="2">
        <v>165</v>
      </c>
      <c r="I9" s="2">
        <v>93</v>
      </c>
      <c r="J9" s="2" t="s">
        <v>36</v>
      </c>
      <c r="K9" s="2" t="s">
        <v>65</v>
      </c>
      <c r="L9" s="2" t="s">
        <v>69</v>
      </c>
      <c r="M9" s="3">
        <v>44342</v>
      </c>
      <c r="N9" s="4">
        <f>Table1_3[[#This Row],[Admission_Date]]</f>
        <v>44342</v>
      </c>
      <c r="O9" s="5">
        <f>Table1_3[[#This Row],[Admission_Date]]</f>
        <v>44342</v>
      </c>
      <c r="P9" s="2">
        <v>31739.599999999999</v>
      </c>
      <c r="Q9" s="2">
        <f t="shared" si="0"/>
        <v>107</v>
      </c>
      <c r="R9" s="2" t="s">
        <v>2525</v>
      </c>
      <c r="S9" s="2">
        <v>34.159779614325075</v>
      </c>
      <c r="T9" s="2" t="s">
        <v>2522</v>
      </c>
      <c r="U9" t="str">
        <f>INDEX(Table2[Doctor_Name],MATCH(Table1_3[[#This Row],[Department]],Table2[Department],0))</f>
        <v>Dr. Vikram Wang</v>
      </c>
    </row>
    <row r="10" spans="1:21" x14ac:dyDescent="0.35">
      <c r="A10" s="2" t="s">
        <v>738</v>
      </c>
      <c r="B10" s="2" t="s">
        <v>2448</v>
      </c>
      <c r="C10" s="2">
        <v>28</v>
      </c>
      <c r="D10" s="2" t="s">
        <v>52</v>
      </c>
      <c r="E10" s="2" t="s">
        <v>89</v>
      </c>
      <c r="F10" s="2" t="s">
        <v>36</v>
      </c>
      <c r="G10" s="2" t="s">
        <v>112</v>
      </c>
      <c r="H10" s="2">
        <v>161</v>
      </c>
      <c r="I10" s="2">
        <v>99.3</v>
      </c>
      <c r="J10" s="2" t="s">
        <v>65</v>
      </c>
      <c r="K10" s="2" t="s">
        <v>19</v>
      </c>
      <c r="L10" s="2" t="s">
        <v>31</v>
      </c>
      <c r="M10" s="3">
        <v>44307</v>
      </c>
      <c r="N10" s="4">
        <f>Table1_3[[#This Row],[Admission_Date]]</f>
        <v>44307</v>
      </c>
      <c r="O10" s="5">
        <f>Table1_3[[#This Row],[Admission_Date]]</f>
        <v>44307</v>
      </c>
      <c r="P10" s="2">
        <v>32846.050000000003</v>
      </c>
      <c r="Q10" s="2">
        <f t="shared" si="0"/>
        <v>37</v>
      </c>
      <c r="R10" s="2" t="s">
        <v>2523</v>
      </c>
      <c r="S10" s="2">
        <v>38.30870722580147</v>
      </c>
      <c r="T10" s="2" t="s">
        <v>2522</v>
      </c>
      <c r="U10" t="str">
        <f>INDEX(Table2[Doctor_Name],MATCH(Table1_3[[#This Row],[Department]],Table2[Department],0))</f>
        <v>Dr. Arvind Chen</v>
      </c>
    </row>
    <row r="11" spans="1:21" x14ac:dyDescent="0.35">
      <c r="A11" s="2" t="s">
        <v>476</v>
      </c>
      <c r="B11" s="2" t="s">
        <v>2434</v>
      </c>
      <c r="C11" s="2">
        <v>18</v>
      </c>
      <c r="D11" s="2" t="s">
        <v>29</v>
      </c>
      <c r="E11" s="2" t="s">
        <v>73</v>
      </c>
      <c r="F11" s="2" t="s">
        <v>273</v>
      </c>
      <c r="G11" s="2" t="s">
        <v>60</v>
      </c>
      <c r="H11" s="2">
        <v>149.30000000000001</v>
      </c>
      <c r="I11" s="2">
        <v>117</v>
      </c>
      <c r="J11" s="2" t="s">
        <v>19</v>
      </c>
      <c r="K11" s="2" t="s">
        <v>36</v>
      </c>
      <c r="L11" s="2" t="s">
        <v>175</v>
      </c>
      <c r="M11" s="3">
        <v>44227</v>
      </c>
      <c r="N11" s="4">
        <f>Table1_3[[#This Row],[Admission_Date]]</f>
        <v>44227</v>
      </c>
      <c r="O11" s="5">
        <f>Table1_3[[#This Row],[Admission_Date]]</f>
        <v>44227</v>
      </c>
      <c r="P11" s="2">
        <v>46355.17</v>
      </c>
      <c r="Q11" s="2">
        <f t="shared" si="0"/>
        <v>1</v>
      </c>
      <c r="R11" s="2" t="s">
        <v>2521</v>
      </c>
      <c r="S11" s="2">
        <v>52.48875192963456</v>
      </c>
      <c r="T11" s="2" t="s">
        <v>2522</v>
      </c>
      <c r="U11" t="str">
        <f>INDEX(Table2[Doctor_Name],MATCH(Table1_3[[#This Row],[Department]],Table2[Department],0))</f>
        <v>Dr. Arvind Wilson</v>
      </c>
    </row>
    <row r="12" spans="1:21" x14ac:dyDescent="0.35">
      <c r="A12" s="2" t="s">
        <v>1383</v>
      </c>
      <c r="B12" s="2" t="s">
        <v>1384</v>
      </c>
      <c r="C12" s="2">
        <v>1</v>
      </c>
      <c r="D12" s="2" t="s">
        <v>29</v>
      </c>
      <c r="E12" s="2" t="s">
        <v>53</v>
      </c>
      <c r="F12" s="2" t="s">
        <v>2517</v>
      </c>
      <c r="G12" s="2" t="s">
        <v>280</v>
      </c>
      <c r="H12" s="2">
        <v>165</v>
      </c>
      <c r="I12" s="2">
        <v>67</v>
      </c>
      <c r="J12" s="2" t="s">
        <v>36</v>
      </c>
      <c r="K12" s="2" t="s">
        <v>36</v>
      </c>
      <c r="L12" s="2" t="s">
        <v>175</v>
      </c>
      <c r="M12" s="3">
        <v>44321</v>
      </c>
      <c r="N12" s="4">
        <f>Table1_3[[#This Row],[Admission_Date]]</f>
        <v>44321</v>
      </c>
      <c r="O12" s="5">
        <f>Table1_3[[#This Row],[Admission_Date]]</f>
        <v>44321</v>
      </c>
      <c r="P12" s="2">
        <v>16023.44</v>
      </c>
      <c r="Q12" s="2">
        <f t="shared" si="0"/>
        <v>38</v>
      </c>
      <c r="R12" s="2" t="s">
        <v>2521</v>
      </c>
      <c r="S12" s="2">
        <v>24.609733700642796</v>
      </c>
      <c r="T12" s="2" t="s">
        <v>1567</v>
      </c>
      <c r="U12" t="str">
        <f>INDEX(Table2[Doctor_Name],MATCH(Table1_3[[#This Row],[Department]],Table2[Department],0))</f>
        <v>Dr. Arvind Wilson</v>
      </c>
    </row>
    <row r="13" spans="1:21" x14ac:dyDescent="0.35">
      <c r="A13" s="2" t="s">
        <v>1050</v>
      </c>
      <c r="B13" s="2" t="s">
        <v>2475</v>
      </c>
      <c r="C13" s="2">
        <v>24</v>
      </c>
      <c r="D13" s="2" t="s">
        <v>138</v>
      </c>
      <c r="E13" s="2" t="s">
        <v>119</v>
      </c>
      <c r="F13" s="2" t="s">
        <v>79</v>
      </c>
      <c r="G13" s="2" t="s">
        <v>191</v>
      </c>
      <c r="H13" s="2">
        <v>177</v>
      </c>
      <c r="I13" s="2">
        <v>44</v>
      </c>
      <c r="J13" s="2" t="s">
        <v>65</v>
      </c>
      <c r="K13" s="2" t="s">
        <v>36</v>
      </c>
      <c r="L13" s="2" t="s">
        <v>2537</v>
      </c>
      <c r="M13" s="3">
        <v>45119</v>
      </c>
      <c r="N13" s="4">
        <f>Table1_3[[#This Row],[Admission_Date]]</f>
        <v>45119</v>
      </c>
      <c r="O13" s="5">
        <f>Table1_3[[#This Row],[Admission_Date]]</f>
        <v>45119</v>
      </c>
      <c r="P13" s="2">
        <v>46767.96</v>
      </c>
      <c r="Q13" s="2">
        <f t="shared" si="0"/>
        <v>1</v>
      </c>
      <c r="R13" s="2" t="s">
        <v>2527</v>
      </c>
      <c r="S13" s="2">
        <v>14.044495515337227</v>
      </c>
      <c r="T13" s="2" t="s">
        <v>2524</v>
      </c>
      <c r="U13" t="str">
        <f>INDEX(Table2[Doctor_Name],MATCH(Table1_3[[#This Row],[Department]],Table2[Department],0))</f>
        <v>Dr. Sunita Zhang</v>
      </c>
    </row>
    <row r="14" spans="1:21" x14ac:dyDescent="0.35">
      <c r="A14" s="2" t="s">
        <v>545</v>
      </c>
      <c r="B14" s="2" t="s">
        <v>546</v>
      </c>
      <c r="C14" s="2">
        <v>41</v>
      </c>
      <c r="D14" s="2" t="s">
        <v>29</v>
      </c>
      <c r="E14" s="2" t="s">
        <v>45</v>
      </c>
      <c r="F14" s="2" t="s">
        <v>273</v>
      </c>
      <c r="G14" s="2" t="s">
        <v>60</v>
      </c>
      <c r="H14" s="2">
        <v>158</v>
      </c>
      <c r="I14" s="2">
        <v>59.2</v>
      </c>
      <c r="J14" s="2" t="s">
        <v>19</v>
      </c>
      <c r="K14" s="2" t="s">
        <v>65</v>
      </c>
      <c r="L14" s="2" t="s">
        <v>86</v>
      </c>
      <c r="M14" s="3">
        <v>44337</v>
      </c>
      <c r="N14" s="4">
        <f>Table1_3[[#This Row],[Admission_Date]]</f>
        <v>44337</v>
      </c>
      <c r="O14" s="5">
        <f>Table1_3[[#This Row],[Admission_Date]]</f>
        <v>44337</v>
      </c>
      <c r="P14" s="2">
        <v>18791.59</v>
      </c>
      <c r="Q14" s="2">
        <f t="shared" si="0"/>
        <v>35</v>
      </c>
      <c r="R14" s="2" t="s">
        <v>2523</v>
      </c>
      <c r="S14" s="2">
        <v>23.714148373658066</v>
      </c>
      <c r="T14" s="2" t="s">
        <v>1567</v>
      </c>
      <c r="U14" t="str">
        <f>INDEX(Table2[Doctor_Name],MATCH(Table1_3[[#This Row],[Department]],Table2[Department],0))</f>
        <v>Dr. Meera Torres</v>
      </c>
    </row>
    <row r="15" spans="1:21" x14ac:dyDescent="0.35">
      <c r="A15" s="2" t="s">
        <v>815</v>
      </c>
      <c r="B15" s="2" t="s">
        <v>2458</v>
      </c>
      <c r="C15" s="2">
        <v>39</v>
      </c>
      <c r="D15" s="2" t="s">
        <v>29</v>
      </c>
      <c r="E15" s="2" t="s">
        <v>45</v>
      </c>
      <c r="F15" s="2" t="s">
        <v>17</v>
      </c>
      <c r="G15" s="2" t="s">
        <v>417</v>
      </c>
      <c r="H15" s="2">
        <v>173.2</v>
      </c>
      <c r="I15" s="2">
        <v>94.4</v>
      </c>
      <c r="J15" s="2" t="s">
        <v>65</v>
      </c>
      <c r="K15" s="2" t="s">
        <v>36</v>
      </c>
      <c r="L15" s="2" t="s">
        <v>143</v>
      </c>
      <c r="M15" s="3">
        <v>44737</v>
      </c>
      <c r="N15" s="4">
        <f>Table1_3[[#This Row],[Admission_Date]]</f>
        <v>44737</v>
      </c>
      <c r="O15" s="5">
        <f>Table1_3[[#This Row],[Admission_Date]]</f>
        <v>44737</v>
      </c>
      <c r="P15" s="2">
        <v>24682.33</v>
      </c>
      <c r="Q15" s="2">
        <f t="shared" si="0"/>
        <v>35</v>
      </c>
      <c r="R15" s="2" t="s">
        <v>2523</v>
      </c>
      <c r="S15" s="2">
        <v>31.468512819418741</v>
      </c>
      <c r="T15" s="2" t="s">
        <v>2522</v>
      </c>
      <c r="U15" t="str">
        <f>INDEX(Table2[Doctor_Name],MATCH(Table1_3[[#This Row],[Department]],Table2[Department],0))</f>
        <v>Dr. Neha Liu</v>
      </c>
    </row>
    <row r="16" spans="1:21" x14ac:dyDescent="0.35">
      <c r="A16" s="2" t="s">
        <v>294</v>
      </c>
      <c r="B16" s="2" t="s">
        <v>2407</v>
      </c>
      <c r="C16" s="2">
        <v>17</v>
      </c>
      <c r="D16" s="2" t="s">
        <v>29</v>
      </c>
      <c r="E16" s="2" t="s">
        <v>53</v>
      </c>
      <c r="F16" s="2" t="s">
        <v>120</v>
      </c>
      <c r="G16" s="2" t="s">
        <v>295</v>
      </c>
      <c r="H16" s="2">
        <v>180</v>
      </c>
      <c r="I16" s="2">
        <v>125</v>
      </c>
      <c r="J16" s="2" t="s">
        <v>19</v>
      </c>
      <c r="K16" s="2" t="s">
        <v>19</v>
      </c>
      <c r="L16" s="2" t="s">
        <v>199</v>
      </c>
      <c r="M16" s="3">
        <v>44953</v>
      </c>
      <c r="N16" s="4">
        <f>Table1_3[[#This Row],[Admission_Date]]</f>
        <v>44953</v>
      </c>
      <c r="O16" s="5">
        <f>Table1_3[[#This Row],[Admission_Date]]</f>
        <v>44953</v>
      </c>
      <c r="P16" s="2">
        <v>27849.99</v>
      </c>
      <c r="Q16" s="2">
        <f t="shared" si="0"/>
        <v>34</v>
      </c>
      <c r="R16" s="2" t="s">
        <v>2521</v>
      </c>
      <c r="S16" s="2">
        <v>38.580246913580247</v>
      </c>
      <c r="T16" s="2" t="s">
        <v>2522</v>
      </c>
      <c r="U16" t="str">
        <f>INDEX(Table2[Doctor_Name],MATCH(Table1_3[[#This Row],[Department]],Table2[Department],0))</f>
        <v>Dr. Vikram Torres</v>
      </c>
    </row>
    <row r="17" spans="1:21" x14ac:dyDescent="0.35">
      <c r="A17" s="2" t="s">
        <v>126</v>
      </c>
      <c r="B17" s="2" t="s">
        <v>2409</v>
      </c>
      <c r="C17" s="2">
        <v>14</v>
      </c>
      <c r="D17" s="2" t="s">
        <v>138</v>
      </c>
      <c r="E17" s="2" t="s">
        <v>130</v>
      </c>
      <c r="F17" s="2" t="s">
        <v>36</v>
      </c>
      <c r="G17" s="2" t="s">
        <v>124</v>
      </c>
      <c r="H17" s="2">
        <v>170</v>
      </c>
      <c r="I17" s="2">
        <v>128</v>
      </c>
      <c r="J17" s="2" t="s">
        <v>65</v>
      </c>
      <c r="K17" s="2" t="s">
        <v>19</v>
      </c>
      <c r="L17" s="2" t="s">
        <v>69</v>
      </c>
      <c r="M17" s="3">
        <v>44906</v>
      </c>
      <c r="N17" s="4">
        <f>Table1_3[[#This Row],[Admission_Date]]</f>
        <v>44906</v>
      </c>
      <c r="O17" s="5">
        <f>Table1_3[[#This Row],[Admission_Date]]</f>
        <v>44906</v>
      </c>
      <c r="P17" s="2">
        <v>40210.639999999999</v>
      </c>
      <c r="Q17" s="2">
        <f t="shared" si="0"/>
        <v>107</v>
      </c>
      <c r="R17" s="2" t="s">
        <v>2521</v>
      </c>
      <c r="S17" s="2">
        <v>44.29065743944637</v>
      </c>
      <c r="T17" s="2" t="s">
        <v>2522</v>
      </c>
      <c r="U17" t="str">
        <f>INDEX(Table2[Doctor_Name],MATCH(Table1_3[[#This Row],[Department]],Table2[Department],0))</f>
        <v>Dr. Vikram Wang</v>
      </c>
    </row>
    <row r="18" spans="1:21" x14ac:dyDescent="0.35">
      <c r="A18" s="2" t="s">
        <v>1141</v>
      </c>
      <c r="B18" s="2" t="s">
        <v>1142</v>
      </c>
      <c r="C18" s="2" t="s">
        <v>2519</v>
      </c>
      <c r="D18" s="2" t="s">
        <v>138</v>
      </c>
      <c r="E18" s="2" t="s">
        <v>111</v>
      </c>
      <c r="F18" s="2" t="s">
        <v>2517</v>
      </c>
      <c r="G18" s="2" t="s">
        <v>102</v>
      </c>
      <c r="H18" s="2">
        <v>170</v>
      </c>
      <c r="I18" s="2">
        <v>99.4</v>
      </c>
      <c r="J18" s="2" t="s">
        <v>65</v>
      </c>
      <c r="K18" s="2" t="s">
        <v>19</v>
      </c>
      <c r="L18" s="2" t="s">
        <v>199</v>
      </c>
      <c r="M18" s="3">
        <v>44339</v>
      </c>
      <c r="N18" s="4">
        <f>Table1_3[[#This Row],[Admission_Date]]</f>
        <v>44339</v>
      </c>
      <c r="O18" s="5">
        <f>Table1_3[[#This Row],[Admission_Date]]</f>
        <v>44339</v>
      </c>
      <c r="P18" s="2">
        <v>17881.73</v>
      </c>
      <c r="Q18" s="2">
        <f t="shared" si="0"/>
        <v>34</v>
      </c>
      <c r="R18" s="2" t="s">
        <v>36</v>
      </c>
      <c r="S18" s="2">
        <v>34.394463667820077</v>
      </c>
      <c r="T18" s="2" t="s">
        <v>2522</v>
      </c>
      <c r="U18" t="str">
        <f>INDEX(Table2[Doctor_Name],MATCH(Table1_3[[#This Row],[Department]],Table2[Department],0))</f>
        <v>Dr. Vikram Torres</v>
      </c>
    </row>
    <row r="19" spans="1:21" x14ac:dyDescent="0.35">
      <c r="A19" s="2" t="s">
        <v>1491</v>
      </c>
      <c r="B19" s="2" t="s">
        <v>563</v>
      </c>
      <c r="C19" s="2">
        <v>23</v>
      </c>
      <c r="D19" s="2" t="s">
        <v>52</v>
      </c>
      <c r="E19" s="2" t="s">
        <v>53</v>
      </c>
      <c r="F19" s="2" t="s">
        <v>141</v>
      </c>
      <c r="G19" s="2" t="s">
        <v>198</v>
      </c>
      <c r="H19" s="2">
        <v>162.30000000000001</v>
      </c>
      <c r="I19" s="2">
        <v>129</v>
      </c>
      <c r="J19" s="2" t="s">
        <v>65</v>
      </c>
      <c r="K19" s="2" t="s">
        <v>65</v>
      </c>
      <c r="L19" s="2" t="s">
        <v>226</v>
      </c>
      <c r="M19" s="3">
        <v>44718</v>
      </c>
      <c r="N19" s="4">
        <f>Table1_3[[#This Row],[Admission_Date]]</f>
        <v>44718</v>
      </c>
      <c r="O19" s="5">
        <f>Table1_3[[#This Row],[Admission_Date]]</f>
        <v>44718</v>
      </c>
      <c r="P19" s="2">
        <v>0</v>
      </c>
      <c r="Q19" s="2">
        <f t="shared" si="0"/>
        <v>35</v>
      </c>
      <c r="R19" s="2" t="s">
        <v>2527</v>
      </c>
      <c r="S19" s="2">
        <v>48.972544624807661</v>
      </c>
      <c r="T19" s="2" t="s">
        <v>2522</v>
      </c>
      <c r="U19" t="str">
        <f>INDEX(Table2[Doctor_Name],MATCH(Table1_3[[#This Row],[Department]],Table2[Department],0))</f>
        <v>Dr. Vikram Khan</v>
      </c>
    </row>
    <row r="20" spans="1:21" x14ac:dyDescent="0.35">
      <c r="A20" s="2" t="s">
        <v>1224</v>
      </c>
      <c r="B20" s="2" t="s">
        <v>1225</v>
      </c>
      <c r="C20" s="2">
        <v>86</v>
      </c>
      <c r="D20" s="2" t="s">
        <v>138</v>
      </c>
      <c r="E20" s="2" t="s">
        <v>119</v>
      </c>
      <c r="F20" s="2" t="s">
        <v>17</v>
      </c>
      <c r="G20" s="2" t="s">
        <v>191</v>
      </c>
      <c r="H20" s="2">
        <v>158.4</v>
      </c>
      <c r="I20" s="2">
        <v>100</v>
      </c>
      <c r="J20" s="2" t="s">
        <v>65</v>
      </c>
      <c r="K20" s="2" t="s">
        <v>36</v>
      </c>
      <c r="L20" s="2" t="s">
        <v>107</v>
      </c>
      <c r="M20" s="3">
        <v>44457</v>
      </c>
      <c r="N20" s="4">
        <f>Table1_3[[#This Row],[Admission_Date]]</f>
        <v>44457</v>
      </c>
      <c r="O20" s="5">
        <f>Table1_3[[#This Row],[Admission_Date]]</f>
        <v>44457</v>
      </c>
      <c r="P20" s="2">
        <v>21312.09</v>
      </c>
      <c r="Q20" s="2">
        <f t="shared" si="0"/>
        <v>83</v>
      </c>
      <c r="R20" s="2" t="s">
        <v>2525</v>
      </c>
      <c r="S20" s="2">
        <v>39.855626976839098</v>
      </c>
      <c r="T20" s="2" t="s">
        <v>2522</v>
      </c>
      <c r="U20" t="str">
        <f>INDEX(Table2[Doctor_Name],MATCH(Table1_3[[#This Row],[Department]],Table2[Department],0))</f>
        <v>Dr. Anita Sanchez</v>
      </c>
    </row>
    <row r="21" spans="1:21" x14ac:dyDescent="0.35">
      <c r="A21" s="2" t="s">
        <v>57</v>
      </c>
      <c r="B21" s="2" t="s">
        <v>58</v>
      </c>
      <c r="C21" s="2">
        <v>1</v>
      </c>
      <c r="D21" s="2" t="s">
        <v>29</v>
      </c>
      <c r="E21" s="2" t="s">
        <v>59</v>
      </c>
      <c r="F21" s="2" t="s">
        <v>2518</v>
      </c>
      <c r="G21" s="2" t="s">
        <v>60</v>
      </c>
      <c r="H21" s="2">
        <v>157</v>
      </c>
      <c r="I21" s="2">
        <v>80</v>
      </c>
      <c r="J21" s="2" t="s">
        <v>19</v>
      </c>
      <c r="K21" s="2" t="s">
        <v>65</v>
      </c>
      <c r="L21" s="2" t="s">
        <v>42</v>
      </c>
      <c r="M21" s="3">
        <v>44544</v>
      </c>
      <c r="N21" s="4">
        <f>Table1_3[[#This Row],[Admission_Date]]</f>
        <v>44544</v>
      </c>
      <c r="O21" s="5">
        <f>Table1_3[[#This Row],[Admission_Date]]</f>
        <v>44544</v>
      </c>
      <c r="P21" s="2">
        <v>4697.38</v>
      </c>
      <c r="Q21" s="2">
        <f t="shared" si="0"/>
        <v>45</v>
      </c>
      <c r="R21" s="2" t="s">
        <v>2521</v>
      </c>
      <c r="S21" s="2">
        <v>32.455677715120288</v>
      </c>
      <c r="T21" s="2" t="s">
        <v>2522</v>
      </c>
      <c r="U21" t="str">
        <f>INDEX(Table2[Doctor_Name],MATCH(Table1_3[[#This Row],[Department]],Table2[Department],0))</f>
        <v>Dr. Rahul Nair</v>
      </c>
    </row>
    <row r="22" spans="1:21" x14ac:dyDescent="0.35">
      <c r="A22" s="2" t="s">
        <v>1001</v>
      </c>
      <c r="B22" s="2" t="s">
        <v>1002</v>
      </c>
      <c r="C22" s="2">
        <v>26</v>
      </c>
      <c r="D22" s="2" t="s">
        <v>29</v>
      </c>
      <c r="E22" s="2" t="s">
        <v>24</v>
      </c>
      <c r="F22" s="2" t="s">
        <v>141</v>
      </c>
      <c r="G22" s="2" t="s">
        <v>112</v>
      </c>
      <c r="H22" s="2">
        <v>193.4</v>
      </c>
      <c r="I22" s="2">
        <v>120</v>
      </c>
      <c r="J22" s="2" t="s">
        <v>36</v>
      </c>
      <c r="K22" s="2" t="s">
        <v>36</v>
      </c>
      <c r="L22" s="2" t="s">
        <v>103</v>
      </c>
      <c r="M22" s="3">
        <v>45209</v>
      </c>
      <c r="N22" s="4">
        <f>Table1_3[[#This Row],[Admission_Date]]</f>
        <v>45209</v>
      </c>
      <c r="O22" s="5">
        <f>Table1_3[[#This Row],[Admission_Date]]</f>
        <v>45209</v>
      </c>
      <c r="P22" s="2">
        <v>12577.23</v>
      </c>
      <c r="Q22" s="2">
        <f t="shared" si="0"/>
        <v>31</v>
      </c>
      <c r="R22" s="2" t="s">
        <v>2523</v>
      </c>
      <c r="S22" s="2">
        <v>32.082507654351609</v>
      </c>
      <c r="T22" s="2" t="s">
        <v>2522</v>
      </c>
      <c r="U22" t="str">
        <f>INDEX(Table2[Doctor_Name],MATCH(Table1_3[[#This Row],[Department]],Table2[Department],0))</f>
        <v>Dr. Suresh Johnson</v>
      </c>
    </row>
    <row r="23" spans="1:21" x14ac:dyDescent="0.35">
      <c r="A23" s="2" t="s">
        <v>708</v>
      </c>
      <c r="B23" s="2" t="s">
        <v>709</v>
      </c>
      <c r="C23" s="2">
        <v>90</v>
      </c>
      <c r="D23" s="2" t="s">
        <v>52</v>
      </c>
      <c r="E23" s="2" t="s">
        <v>230</v>
      </c>
      <c r="F23" s="2" t="s">
        <v>141</v>
      </c>
      <c r="G23" s="2" t="s">
        <v>18</v>
      </c>
      <c r="H23" s="2">
        <v>172</v>
      </c>
      <c r="I23" s="2">
        <v>81.8</v>
      </c>
      <c r="J23" s="2" t="s">
        <v>65</v>
      </c>
      <c r="K23" s="2" t="s">
        <v>65</v>
      </c>
      <c r="L23" s="2" t="s">
        <v>199</v>
      </c>
      <c r="M23" s="3">
        <v>45230</v>
      </c>
      <c r="N23" s="4">
        <f>Table1_3[[#This Row],[Admission_Date]]</f>
        <v>45230</v>
      </c>
      <c r="O23" s="5">
        <f>Table1_3[[#This Row],[Admission_Date]]</f>
        <v>45230</v>
      </c>
      <c r="P23" s="2">
        <v>41613.17</v>
      </c>
      <c r="Q23" s="2">
        <f t="shared" si="0"/>
        <v>34</v>
      </c>
      <c r="R23" s="2" t="s">
        <v>2525</v>
      </c>
      <c r="S23" s="2">
        <v>27.650081124932399</v>
      </c>
      <c r="T23" s="2" t="s">
        <v>2526</v>
      </c>
      <c r="U23" t="str">
        <f>INDEX(Table2[Doctor_Name],MATCH(Table1_3[[#This Row],[Department]],Table2[Department],0))</f>
        <v>Dr. Vikram Torres</v>
      </c>
    </row>
    <row r="24" spans="1:21" x14ac:dyDescent="0.35">
      <c r="A24" s="2" t="s">
        <v>779</v>
      </c>
      <c r="B24" s="2" t="s">
        <v>780</v>
      </c>
      <c r="C24" s="2">
        <v>82</v>
      </c>
      <c r="D24" s="2" t="s">
        <v>29</v>
      </c>
      <c r="E24" s="2" t="s">
        <v>130</v>
      </c>
      <c r="F24" s="2" t="s">
        <v>36</v>
      </c>
      <c r="G24" s="2" t="s">
        <v>54</v>
      </c>
      <c r="H24" s="2">
        <v>173.3</v>
      </c>
      <c r="I24" s="2">
        <v>70</v>
      </c>
      <c r="J24" s="2" t="s">
        <v>19</v>
      </c>
      <c r="K24" s="2" t="s">
        <v>19</v>
      </c>
      <c r="L24" s="2" t="s">
        <v>226</v>
      </c>
      <c r="M24" s="3">
        <v>44981</v>
      </c>
      <c r="N24" s="4">
        <f>Table1_3[[#This Row],[Admission_Date]]</f>
        <v>44981</v>
      </c>
      <c r="O24" s="5">
        <f>Table1_3[[#This Row],[Admission_Date]]</f>
        <v>44981</v>
      </c>
      <c r="P24" s="2">
        <v>8063.86</v>
      </c>
      <c r="Q24" s="2">
        <f t="shared" si="0"/>
        <v>35</v>
      </c>
      <c r="R24" s="2" t="s">
        <v>2525</v>
      </c>
      <c r="S24" s="2">
        <v>23.307780236933571</v>
      </c>
      <c r="T24" s="2" t="s">
        <v>1567</v>
      </c>
      <c r="U24" t="str">
        <f>INDEX(Table2[Doctor_Name],MATCH(Table1_3[[#This Row],[Department]],Table2[Department],0))</f>
        <v>Dr. Vikram Khan</v>
      </c>
    </row>
    <row r="25" spans="1:21" x14ac:dyDescent="0.35">
      <c r="A25" s="2" t="s">
        <v>337</v>
      </c>
      <c r="B25" s="2" t="s">
        <v>197</v>
      </c>
      <c r="C25" s="2">
        <v>50</v>
      </c>
      <c r="D25" s="2" t="s">
        <v>29</v>
      </c>
      <c r="E25" s="2" t="s">
        <v>115</v>
      </c>
      <c r="F25" s="2" t="s">
        <v>273</v>
      </c>
      <c r="G25" s="2" t="s">
        <v>35</v>
      </c>
      <c r="H25" s="2">
        <v>175.5</v>
      </c>
      <c r="I25" s="2" t="s">
        <v>2519</v>
      </c>
      <c r="J25" s="2" t="s">
        <v>65</v>
      </c>
      <c r="K25" s="2" t="s">
        <v>19</v>
      </c>
      <c r="L25" s="2" t="s">
        <v>42</v>
      </c>
      <c r="M25" s="3">
        <v>45202</v>
      </c>
      <c r="N25" s="4">
        <f>Table1_3[[#This Row],[Admission_Date]]</f>
        <v>45202</v>
      </c>
      <c r="O25" s="5">
        <f>Table1_3[[#This Row],[Admission_Date]]</f>
        <v>45202</v>
      </c>
      <c r="P25" s="2">
        <v>27141.919999999998</v>
      </c>
      <c r="Q25" s="2">
        <f t="shared" si="0"/>
        <v>45</v>
      </c>
      <c r="R25" s="2" t="s">
        <v>2523</v>
      </c>
      <c r="S25" s="2" t="s">
        <v>36</v>
      </c>
      <c r="T25" s="2" t="s">
        <v>36</v>
      </c>
      <c r="U25" t="str">
        <f>INDEX(Table2[Doctor_Name],MATCH(Table1_3[[#This Row],[Department]],Table2[Department],0))</f>
        <v>Dr. Rahul Nair</v>
      </c>
    </row>
    <row r="26" spans="1:21" x14ac:dyDescent="0.35">
      <c r="A26" s="2" t="s">
        <v>449</v>
      </c>
      <c r="B26" s="2" t="s">
        <v>450</v>
      </c>
      <c r="C26" s="2">
        <v>50</v>
      </c>
      <c r="D26" s="2" t="s">
        <v>138</v>
      </c>
      <c r="E26" s="2" t="s">
        <v>146</v>
      </c>
      <c r="F26" s="2" t="s">
        <v>2518</v>
      </c>
      <c r="G26" s="2" t="s">
        <v>295</v>
      </c>
      <c r="H26" s="2">
        <v>166</v>
      </c>
      <c r="I26" s="2">
        <v>88.1</v>
      </c>
      <c r="J26" s="2" t="s">
        <v>36</v>
      </c>
      <c r="K26" s="2" t="s">
        <v>65</v>
      </c>
      <c r="L26" s="2" t="s">
        <v>143</v>
      </c>
      <c r="M26" s="3">
        <v>44252</v>
      </c>
      <c r="N26" s="4">
        <f>Table1_3[[#This Row],[Admission_Date]]</f>
        <v>44252</v>
      </c>
      <c r="O26" s="5">
        <f>Table1_3[[#This Row],[Admission_Date]]</f>
        <v>44252</v>
      </c>
      <c r="P26" s="2">
        <v>32316.11</v>
      </c>
      <c r="Q26" s="2">
        <f t="shared" si="0"/>
        <v>35</v>
      </c>
      <c r="R26" s="2" t="s">
        <v>2523</v>
      </c>
      <c r="S26" s="2">
        <v>31.971258528088256</v>
      </c>
      <c r="T26" s="2" t="s">
        <v>2522</v>
      </c>
      <c r="U26" t="str">
        <f>INDEX(Table2[Doctor_Name],MATCH(Table1_3[[#This Row],[Department]],Table2[Department],0))</f>
        <v>Dr. Neha Liu</v>
      </c>
    </row>
    <row r="27" spans="1:21" x14ac:dyDescent="0.35">
      <c r="A27" s="2" t="s">
        <v>699</v>
      </c>
      <c r="B27" s="2" t="s">
        <v>2444</v>
      </c>
      <c r="C27" s="2">
        <v>49</v>
      </c>
      <c r="D27" s="2" t="s">
        <v>29</v>
      </c>
      <c r="E27" s="2" t="s">
        <v>130</v>
      </c>
      <c r="F27" s="2" t="s">
        <v>36</v>
      </c>
      <c r="G27" s="2" t="s">
        <v>417</v>
      </c>
      <c r="H27" s="2">
        <v>185</v>
      </c>
      <c r="I27" s="2">
        <v>71</v>
      </c>
      <c r="J27" s="2" t="s">
        <v>36</v>
      </c>
      <c r="K27" s="2" t="s">
        <v>19</v>
      </c>
      <c r="L27" s="2" t="s">
        <v>42</v>
      </c>
      <c r="M27" s="3">
        <v>44260</v>
      </c>
      <c r="N27" s="4">
        <f>Table1_3[[#This Row],[Admission_Date]]</f>
        <v>44260</v>
      </c>
      <c r="O27" s="5">
        <f>Table1_3[[#This Row],[Admission_Date]]</f>
        <v>44260</v>
      </c>
      <c r="P27" s="2">
        <v>0</v>
      </c>
      <c r="Q27" s="2">
        <f t="shared" si="0"/>
        <v>45</v>
      </c>
      <c r="R27" s="2" t="s">
        <v>2523</v>
      </c>
      <c r="S27" s="2">
        <v>20.74506939371804</v>
      </c>
      <c r="T27" s="2" t="s">
        <v>1567</v>
      </c>
      <c r="U27" t="str">
        <f>INDEX(Table2[Doctor_Name],MATCH(Table1_3[[#This Row],[Department]],Table2[Department],0))</f>
        <v>Dr. Rahul Nair</v>
      </c>
    </row>
    <row r="28" spans="1:21" x14ac:dyDescent="0.35">
      <c r="A28" s="2" t="s">
        <v>242</v>
      </c>
      <c r="B28" s="2" t="s">
        <v>243</v>
      </c>
      <c r="C28" s="2">
        <v>90</v>
      </c>
      <c r="D28" s="2" t="s">
        <v>29</v>
      </c>
      <c r="E28" s="2" t="s">
        <v>130</v>
      </c>
      <c r="F28" s="2" t="s">
        <v>17</v>
      </c>
      <c r="G28" s="2" t="s">
        <v>90</v>
      </c>
      <c r="H28" s="2">
        <v>191</v>
      </c>
      <c r="I28" s="2">
        <v>54.7</v>
      </c>
      <c r="J28" s="2" t="s">
        <v>65</v>
      </c>
      <c r="K28" s="2" t="s">
        <v>65</v>
      </c>
      <c r="L28" s="2" t="s">
        <v>69</v>
      </c>
      <c r="M28" s="3">
        <v>44571</v>
      </c>
      <c r="N28" s="4">
        <f>Table1_3[[#This Row],[Admission_Date]]</f>
        <v>44571</v>
      </c>
      <c r="O28" s="5">
        <f>Table1_3[[#This Row],[Admission_Date]]</f>
        <v>44571</v>
      </c>
      <c r="P28" s="2">
        <v>34028.69</v>
      </c>
      <c r="Q28" s="2">
        <f t="shared" si="0"/>
        <v>107</v>
      </c>
      <c r="R28" s="2" t="s">
        <v>2525</v>
      </c>
      <c r="S28" s="2">
        <v>14.99410652120282</v>
      </c>
      <c r="T28" s="2" t="s">
        <v>2524</v>
      </c>
      <c r="U28" t="str">
        <f>INDEX(Table2[Doctor_Name],MATCH(Table1_3[[#This Row],[Department]],Table2[Department],0))</f>
        <v>Dr. Vikram Wang</v>
      </c>
    </row>
    <row r="29" spans="1:21" x14ac:dyDescent="0.35">
      <c r="A29" s="2" t="s">
        <v>1315</v>
      </c>
      <c r="B29" s="2" t="s">
        <v>1316</v>
      </c>
      <c r="C29" s="2">
        <v>14</v>
      </c>
      <c r="D29" s="2" t="s">
        <v>138</v>
      </c>
      <c r="E29" s="2" t="s">
        <v>130</v>
      </c>
      <c r="F29" s="2" t="s">
        <v>79</v>
      </c>
      <c r="G29" s="2" t="s">
        <v>35</v>
      </c>
      <c r="H29" s="2">
        <v>152</v>
      </c>
      <c r="I29" s="2">
        <v>78.599999999999994</v>
      </c>
      <c r="J29" s="2" t="s">
        <v>65</v>
      </c>
      <c r="K29" s="2" t="s">
        <v>19</v>
      </c>
      <c r="L29" s="2" t="s">
        <v>143</v>
      </c>
      <c r="M29" s="3">
        <v>44895</v>
      </c>
      <c r="N29" s="4">
        <f>Table1_3[[#This Row],[Admission_Date]]</f>
        <v>44895</v>
      </c>
      <c r="O29" s="5">
        <f>Table1_3[[#This Row],[Admission_Date]]</f>
        <v>44895</v>
      </c>
      <c r="P29" s="2">
        <v>42553.99</v>
      </c>
      <c r="Q29" s="2">
        <f t="shared" si="0"/>
        <v>35</v>
      </c>
      <c r="R29" s="2" t="s">
        <v>2521</v>
      </c>
      <c r="S29" s="2">
        <v>34.020083102493075</v>
      </c>
      <c r="T29" s="2" t="s">
        <v>2522</v>
      </c>
      <c r="U29" t="str">
        <f>INDEX(Table2[Doctor_Name],MATCH(Table1_3[[#This Row],[Department]],Table2[Department],0))</f>
        <v>Dr. Neha Liu</v>
      </c>
    </row>
    <row r="30" spans="1:21" x14ac:dyDescent="0.35">
      <c r="A30" s="2" t="s">
        <v>593</v>
      </c>
      <c r="B30" s="2" t="s">
        <v>594</v>
      </c>
      <c r="C30" s="2">
        <v>94</v>
      </c>
      <c r="D30" s="2" t="s">
        <v>52</v>
      </c>
      <c r="E30" s="2" t="s">
        <v>24</v>
      </c>
      <c r="F30" s="2" t="s">
        <v>273</v>
      </c>
      <c r="G30" s="2" t="s">
        <v>124</v>
      </c>
      <c r="H30" s="2">
        <v>181</v>
      </c>
      <c r="I30" s="2">
        <v>114.3</v>
      </c>
      <c r="J30" s="2" t="s">
        <v>65</v>
      </c>
      <c r="K30" s="2" t="s">
        <v>65</v>
      </c>
      <c r="L30" s="2" t="s">
        <v>199</v>
      </c>
      <c r="M30" s="3">
        <v>44374</v>
      </c>
      <c r="N30" s="4">
        <f>Table1_3[[#This Row],[Admission_Date]]</f>
        <v>44374</v>
      </c>
      <c r="O30" s="5">
        <f>Table1_3[[#This Row],[Admission_Date]]</f>
        <v>44374</v>
      </c>
      <c r="P30" s="2">
        <v>44140.74</v>
      </c>
      <c r="Q30" s="2">
        <f t="shared" si="0"/>
        <v>34</v>
      </c>
      <c r="R30" s="2" t="s">
        <v>2525</v>
      </c>
      <c r="S30" s="2">
        <v>34.889044900949301</v>
      </c>
      <c r="T30" s="2" t="s">
        <v>2522</v>
      </c>
      <c r="U30" t="str">
        <f>INDEX(Table2[Doctor_Name],MATCH(Table1_3[[#This Row],[Department]],Table2[Department],0))</f>
        <v>Dr. Vikram Torres</v>
      </c>
    </row>
    <row r="31" spans="1:21" x14ac:dyDescent="0.35">
      <c r="A31" s="2" t="s">
        <v>621</v>
      </c>
      <c r="B31" s="2" t="s">
        <v>2441</v>
      </c>
      <c r="C31" s="2">
        <v>24</v>
      </c>
      <c r="D31" s="2" t="s">
        <v>138</v>
      </c>
      <c r="E31" s="2" t="s">
        <v>111</v>
      </c>
      <c r="F31" s="2" t="s">
        <v>17</v>
      </c>
      <c r="G31" s="2" t="s">
        <v>36</v>
      </c>
      <c r="H31" s="2">
        <v>194.9</v>
      </c>
      <c r="I31" s="2">
        <v>86</v>
      </c>
      <c r="J31" s="2" t="s">
        <v>65</v>
      </c>
      <c r="K31" s="2" t="s">
        <v>65</v>
      </c>
      <c r="L31" s="2" t="s">
        <v>55</v>
      </c>
      <c r="M31" s="3">
        <v>45029</v>
      </c>
      <c r="N31" s="4">
        <f>Table1_3[[#This Row],[Admission_Date]]</f>
        <v>45029</v>
      </c>
      <c r="O31" s="5">
        <f>Table1_3[[#This Row],[Admission_Date]]</f>
        <v>45029</v>
      </c>
      <c r="P31" s="2">
        <v>27981.22</v>
      </c>
      <c r="Q31" s="2">
        <f t="shared" si="0"/>
        <v>42</v>
      </c>
      <c r="R31" s="2" t="s">
        <v>2527</v>
      </c>
      <c r="S31" s="2">
        <v>22.63991401044753</v>
      </c>
      <c r="T31" s="2" t="s">
        <v>1567</v>
      </c>
      <c r="U31" t="str">
        <f>INDEX(Table2[Doctor_Name],MATCH(Table1_3[[#This Row],[Department]],Table2[Department],0))</f>
        <v>Dr. Sunita Sanchez</v>
      </c>
    </row>
    <row r="32" spans="1:21" x14ac:dyDescent="0.35">
      <c r="A32" s="2" t="s">
        <v>159</v>
      </c>
      <c r="B32" s="2" t="s">
        <v>2412</v>
      </c>
      <c r="C32" s="2">
        <v>89</v>
      </c>
      <c r="D32" s="2" t="s">
        <v>138</v>
      </c>
      <c r="E32" s="2" t="s">
        <v>59</v>
      </c>
      <c r="F32" s="2" t="s">
        <v>17</v>
      </c>
      <c r="G32" s="2" t="s">
        <v>160</v>
      </c>
      <c r="H32" s="2">
        <v>175</v>
      </c>
      <c r="I32" s="2">
        <v>80.8</v>
      </c>
      <c r="J32" s="2" t="s">
        <v>19</v>
      </c>
      <c r="K32" s="2" t="s">
        <v>65</v>
      </c>
      <c r="L32" s="2" t="s">
        <v>69</v>
      </c>
      <c r="M32" s="3">
        <v>44591</v>
      </c>
      <c r="N32" s="4">
        <f>Table1_3[[#This Row],[Admission_Date]]</f>
        <v>44591</v>
      </c>
      <c r="O32" s="5">
        <f>Table1_3[[#This Row],[Admission_Date]]</f>
        <v>44591</v>
      </c>
      <c r="P32" s="2">
        <v>6417.96</v>
      </c>
      <c r="Q32" s="2">
        <f t="shared" si="0"/>
        <v>107</v>
      </c>
      <c r="R32" s="2" t="s">
        <v>2525</v>
      </c>
      <c r="S32" s="2">
        <v>26.383673469387755</v>
      </c>
      <c r="T32" s="2" t="s">
        <v>2526</v>
      </c>
      <c r="U32" t="str">
        <f>INDEX(Table2[Doctor_Name],MATCH(Table1_3[[#This Row],[Department]],Table2[Department],0))</f>
        <v>Dr. Vikram Wang</v>
      </c>
    </row>
    <row r="33" spans="1:21" x14ac:dyDescent="0.35">
      <c r="A33" s="2" t="s">
        <v>534</v>
      </c>
      <c r="B33" s="2" t="s">
        <v>535</v>
      </c>
      <c r="C33" s="2">
        <v>68</v>
      </c>
      <c r="D33" s="2" t="s">
        <v>52</v>
      </c>
      <c r="E33" s="2" t="s">
        <v>59</v>
      </c>
      <c r="F33" s="2" t="s">
        <v>134</v>
      </c>
      <c r="G33" s="2" t="s">
        <v>36</v>
      </c>
      <c r="H33" s="2">
        <v>162.19999999999999</v>
      </c>
      <c r="I33" s="2">
        <v>104</v>
      </c>
      <c r="J33" s="2" t="s">
        <v>19</v>
      </c>
      <c r="K33" s="2" t="s">
        <v>19</v>
      </c>
      <c r="L33" s="2" t="s">
        <v>69</v>
      </c>
      <c r="M33" s="3">
        <v>44795</v>
      </c>
      <c r="N33" s="4">
        <f>Table1_3[[#This Row],[Admission_Date]]</f>
        <v>44795</v>
      </c>
      <c r="O33" s="5">
        <f>Table1_3[[#This Row],[Admission_Date]]</f>
        <v>44795</v>
      </c>
      <c r="P33" s="2">
        <v>47232.44</v>
      </c>
      <c r="Q33" s="2">
        <f t="shared" si="0"/>
        <v>1</v>
      </c>
      <c r="R33" s="2" t="s">
        <v>2525</v>
      </c>
      <c r="S33" s="2">
        <v>39.530439198383519</v>
      </c>
      <c r="T33" s="2" t="s">
        <v>2522</v>
      </c>
      <c r="U33" t="str">
        <f>INDEX(Table2[Doctor_Name],MATCH(Table1_3[[#This Row],[Department]],Table2[Department],0))</f>
        <v>Dr. Vikram Wang</v>
      </c>
    </row>
    <row r="34" spans="1:21" x14ac:dyDescent="0.35">
      <c r="A34" s="2" t="s">
        <v>534</v>
      </c>
      <c r="B34" s="2" t="s">
        <v>2446</v>
      </c>
      <c r="C34" s="2">
        <v>55</v>
      </c>
      <c r="D34" s="2" t="s">
        <v>138</v>
      </c>
      <c r="E34" s="2" t="s">
        <v>130</v>
      </c>
      <c r="F34" s="2" t="s">
        <v>17</v>
      </c>
      <c r="G34" s="2" t="s">
        <v>36</v>
      </c>
      <c r="H34" s="2">
        <v>150</v>
      </c>
      <c r="I34" s="2">
        <v>40.799999999999997</v>
      </c>
      <c r="J34" s="2" t="s">
        <v>65</v>
      </c>
      <c r="K34" s="2" t="s">
        <v>19</v>
      </c>
      <c r="L34" s="2" t="s">
        <v>199</v>
      </c>
      <c r="M34" s="3">
        <v>44804</v>
      </c>
      <c r="N34" s="4">
        <f>Table1_3[[#This Row],[Admission_Date]]</f>
        <v>44804</v>
      </c>
      <c r="O34" s="5">
        <f>Table1_3[[#This Row],[Admission_Date]]</f>
        <v>44804</v>
      </c>
      <c r="P34" s="2">
        <v>25241.72</v>
      </c>
      <c r="Q34" s="2">
        <f t="shared" si="0"/>
        <v>34</v>
      </c>
      <c r="R34" s="2" t="s">
        <v>2523</v>
      </c>
      <c r="S34" s="2">
        <v>18.133333333333333</v>
      </c>
      <c r="T34" s="2" t="s">
        <v>2524</v>
      </c>
      <c r="U34" t="str">
        <f>INDEX(Table2[Doctor_Name],MATCH(Table1_3[[#This Row],[Department]],Table2[Department],0))</f>
        <v>Dr. Vikram Torres</v>
      </c>
    </row>
    <row r="35" spans="1:21" x14ac:dyDescent="0.35">
      <c r="A35" s="2" t="s">
        <v>674</v>
      </c>
      <c r="B35" s="2" t="s">
        <v>675</v>
      </c>
      <c r="C35" s="2">
        <v>44</v>
      </c>
      <c r="D35" s="2" t="s">
        <v>29</v>
      </c>
      <c r="E35" s="2" t="s">
        <v>146</v>
      </c>
      <c r="F35" s="2" t="s">
        <v>273</v>
      </c>
      <c r="G35" s="2" t="s">
        <v>35</v>
      </c>
      <c r="H35" s="2">
        <v>168.4</v>
      </c>
      <c r="I35" s="2">
        <v>92</v>
      </c>
      <c r="J35" s="2" t="s">
        <v>19</v>
      </c>
      <c r="K35" s="2" t="s">
        <v>19</v>
      </c>
      <c r="L35" s="2" t="s">
        <v>42</v>
      </c>
      <c r="M35" s="3">
        <v>44819</v>
      </c>
      <c r="N35" s="4">
        <f>Table1_3[[#This Row],[Admission_Date]]</f>
        <v>44819</v>
      </c>
      <c r="O35" s="5">
        <f>Table1_3[[#This Row],[Admission_Date]]</f>
        <v>44819</v>
      </c>
      <c r="P35" s="2">
        <v>49698.95</v>
      </c>
      <c r="Q35" s="2">
        <f t="shared" si="0"/>
        <v>1</v>
      </c>
      <c r="R35" s="2" t="s">
        <v>2523</v>
      </c>
      <c r="S35" s="2">
        <v>32.441703669015624</v>
      </c>
      <c r="T35" s="2" t="s">
        <v>2522</v>
      </c>
      <c r="U35" t="str">
        <f>INDEX(Table2[Doctor_Name],MATCH(Table1_3[[#This Row],[Department]],Table2[Department],0))</f>
        <v>Dr. Rahul Nair</v>
      </c>
    </row>
    <row r="36" spans="1:21" x14ac:dyDescent="0.35">
      <c r="A36" s="2" t="s">
        <v>316</v>
      </c>
      <c r="B36" s="2" t="s">
        <v>317</v>
      </c>
      <c r="C36" s="2">
        <v>57</v>
      </c>
      <c r="D36" s="2" t="s">
        <v>29</v>
      </c>
      <c r="E36" s="2" t="s">
        <v>115</v>
      </c>
      <c r="F36" s="2" t="s">
        <v>36</v>
      </c>
      <c r="G36" s="2" t="s">
        <v>280</v>
      </c>
      <c r="H36" s="2">
        <v>152</v>
      </c>
      <c r="I36" s="2">
        <v>59</v>
      </c>
      <c r="J36" s="2" t="s">
        <v>19</v>
      </c>
      <c r="K36" s="2" t="s">
        <v>36</v>
      </c>
      <c r="L36" s="2" t="s">
        <v>69</v>
      </c>
      <c r="M36" s="3">
        <v>44518</v>
      </c>
      <c r="N36" s="4">
        <f>Table1_3[[#This Row],[Admission_Date]]</f>
        <v>44518</v>
      </c>
      <c r="O36" s="5">
        <f>Table1_3[[#This Row],[Admission_Date]]</f>
        <v>44518</v>
      </c>
      <c r="P36" s="2">
        <v>9103.77</v>
      </c>
      <c r="Q36" s="2">
        <f t="shared" si="0"/>
        <v>107</v>
      </c>
      <c r="R36" s="2" t="s">
        <v>2523</v>
      </c>
      <c r="S36" s="2">
        <v>25.536703601108034</v>
      </c>
      <c r="T36" s="2" t="s">
        <v>2526</v>
      </c>
      <c r="U36" t="str">
        <f>INDEX(Table2[Doctor_Name],MATCH(Table1_3[[#This Row],[Department]],Table2[Department],0))</f>
        <v>Dr. Vikram Wang</v>
      </c>
    </row>
    <row r="37" spans="1:21" x14ac:dyDescent="0.35">
      <c r="A37" s="2" t="s">
        <v>260</v>
      </c>
      <c r="B37" s="2" t="s">
        <v>261</v>
      </c>
      <c r="C37" s="2">
        <v>91</v>
      </c>
      <c r="D37" s="2" t="s">
        <v>29</v>
      </c>
      <c r="E37" s="2" t="s">
        <v>89</v>
      </c>
      <c r="F37" s="2" t="s">
        <v>2517</v>
      </c>
      <c r="G37" s="2" t="s">
        <v>80</v>
      </c>
      <c r="H37" s="2">
        <v>187.9</v>
      </c>
      <c r="I37" s="2">
        <v>89</v>
      </c>
      <c r="J37" s="2" t="s">
        <v>19</v>
      </c>
      <c r="K37" s="2" t="s">
        <v>19</v>
      </c>
      <c r="L37" s="2" t="s">
        <v>69</v>
      </c>
      <c r="M37" s="3">
        <v>44319</v>
      </c>
      <c r="N37" s="4">
        <f>Table1_3[[#This Row],[Admission_Date]]</f>
        <v>44319</v>
      </c>
      <c r="O37" s="5">
        <f>Table1_3[[#This Row],[Admission_Date]]</f>
        <v>44319</v>
      </c>
      <c r="P37" s="2">
        <v>39735.11</v>
      </c>
      <c r="Q37" s="2">
        <f t="shared" si="0"/>
        <v>107</v>
      </c>
      <c r="R37" s="2" t="s">
        <v>2525</v>
      </c>
      <c r="S37" s="2">
        <v>25.207887179693433</v>
      </c>
      <c r="T37" s="2" t="s">
        <v>2526</v>
      </c>
      <c r="U37" t="str">
        <f>INDEX(Table2[Doctor_Name],MATCH(Table1_3[[#This Row],[Department]],Table2[Department],0))</f>
        <v>Dr. Vikram Wang</v>
      </c>
    </row>
    <row r="38" spans="1:21" x14ac:dyDescent="0.35">
      <c r="A38" s="2" t="s">
        <v>282</v>
      </c>
      <c r="B38" s="2" t="s">
        <v>283</v>
      </c>
      <c r="C38" s="2">
        <v>52</v>
      </c>
      <c r="D38" s="2" t="s">
        <v>29</v>
      </c>
      <c r="E38" s="2" t="s">
        <v>78</v>
      </c>
      <c r="F38" s="2" t="s">
        <v>36</v>
      </c>
      <c r="G38" s="2" t="s">
        <v>60</v>
      </c>
      <c r="H38" s="2">
        <v>165</v>
      </c>
      <c r="I38" s="2">
        <v>106.1</v>
      </c>
      <c r="J38" s="2" t="s">
        <v>19</v>
      </c>
      <c r="K38" s="2" t="s">
        <v>65</v>
      </c>
      <c r="L38" s="2" t="s">
        <v>226</v>
      </c>
      <c r="M38" s="3">
        <v>44239</v>
      </c>
      <c r="N38" s="4">
        <f>Table1_3[[#This Row],[Admission_Date]]</f>
        <v>44239</v>
      </c>
      <c r="O38" s="5">
        <f>Table1_3[[#This Row],[Admission_Date]]</f>
        <v>44239</v>
      </c>
      <c r="P38" s="2">
        <v>41160.35</v>
      </c>
      <c r="Q38" s="2">
        <f t="shared" si="0"/>
        <v>35</v>
      </c>
      <c r="R38" s="2" t="s">
        <v>2523</v>
      </c>
      <c r="S38" s="2">
        <v>38.971533516988067</v>
      </c>
      <c r="T38" s="2" t="s">
        <v>2522</v>
      </c>
      <c r="U38" t="str">
        <f>INDEX(Table2[Doctor_Name],MATCH(Table1_3[[#This Row],[Department]],Table2[Department],0))</f>
        <v>Dr. Vikram Khan</v>
      </c>
    </row>
    <row r="39" spans="1:21" x14ac:dyDescent="0.35">
      <c r="A39" s="2" t="s">
        <v>822</v>
      </c>
      <c r="B39" s="2" t="s">
        <v>823</v>
      </c>
      <c r="C39" s="2">
        <v>75</v>
      </c>
      <c r="D39" s="2" t="s">
        <v>29</v>
      </c>
      <c r="E39" s="2" t="s">
        <v>24</v>
      </c>
      <c r="F39" s="2" t="s">
        <v>36</v>
      </c>
      <c r="G39" s="2" t="s">
        <v>80</v>
      </c>
      <c r="H39" s="2">
        <v>195</v>
      </c>
      <c r="I39" s="2">
        <v>117.2</v>
      </c>
      <c r="J39" s="2" t="s">
        <v>65</v>
      </c>
      <c r="K39" s="2" t="s">
        <v>36</v>
      </c>
      <c r="L39" s="2" t="s">
        <v>31</v>
      </c>
      <c r="M39" s="3">
        <v>44787</v>
      </c>
      <c r="N39" s="4">
        <f>Table1_3[[#This Row],[Admission_Date]]</f>
        <v>44787</v>
      </c>
      <c r="O39" s="5">
        <f>Table1_3[[#This Row],[Admission_Date]]</f>
        <v>44787</v>
      </c>
      <c r="P39" s="2">
        <v>47287.08</v>
      </c>
      <c r="Q39" s="2">
        <f t="shared" si="0"/>
        <v>1</v>
      </c>
      <c r="R39" s="2" t="s">
        <v>2525</v>
      </c>
      <c r="S39" s="2">
        <v>30.82182774490467</v>
      </c>
      <c r="T39" s="2" t="s">
        <v>2522</v>
      </c>
      <c r="U39" t="str">
        <f>INDEX(Table2[Doctor_Name],MATCH(Table1_3[[#This Row],[Department]],Table2[Department],0))</f>
        <v>Dr. Arvind Chen</v>
      </c>
    </row>
    <row r="40" spans="1:21" x14ac:dyDescent="0.35">
      <c r="A40" s="2" t="s">
        <v>443</v>
      </c>
      <c r="B40" s="2" t="s">
        <v>444</v>
      </c>
      <c r="C40" s="2">
        <v>52</v>
      </c>
      <c r="D40" s="2" t="s">
        <v>138</v>
      </c>
      <c r="E40" s="2" t="s">
        <v>78</v>
      </c>
      <c r="F40" s="2" t="s">
        <v>273</v>
      </c>
      <c r="G40" s="2" t="s">
        <v>191</v>
      </c>
      <c r="H40" s="2">
        <v>171.5</v>
      </c>
      <c r="I40" s="2">
        <v>72.599999999999994</v>
      </c>
      <c r="J40" s="2" t="s">
        <v>36</v>
      </c>
      <c r="K40" s="2" t="s">
        <v>65</v>
      </c>
      <c r="L40" s="2" t="s">
        <v>42</v>
      </c>
      <c r="M40" s="3">
        <v>44302</v>
      </c>
      <c r="N40" s="4">
        <f>Table1_3[[#This Row],[Admission_Date]]</f>
        <v>44302</v>
      </c>
      <c r="O40" s="5">
        <f>Table1_3[[#This Row],[Admission_Date]]</f>
        <v>44302</v>
      </c>
      <c r="P40" s="2">
        <v>13719.28</v>
      </c>
      <c r="Q40" s="2">
        <f t="shared" si="0"/>
        <v>45</v>
      </c>
      <c r="R40" s="2" t="s">
        <v>2523</v>
      </c>
      <c r="S40" s="2">
        <v>24.683592720720103</v>
      </c>
      <c r="T40" s="2" t="s">
        <v>1567</v>
      </c>
      <c r="U40" t="str">
        <f>INDEX(Table2[Doctor_Name],MATCH(Table1_3[[#This Row],[Department]],Table2[Department],0))</f>
        <v>Dr. Rahul Nair</v>
      </c>
    </row>
    <row r="41" spans="1:21" x14ac:dyDescent="0.35">
      <c r="A41" s="2" t="s">
        <v>754</v>
      </c>
      <c r="B41" s="2" t="s">
        <v>2450</v>
      </c>
      <c r="C41" s="2">
        <v>31</v>
      </c>
      <c r="D41" s="2" t="s">
        <v>138</v>
      </c>
      <c r="E41" s="2" t="s">
        <v>73</v>
      </c>
      <c r="F41" s="2" t="s">
        <v>79</v>
      </c>
      <c r="G41" s="2" t="s">
        <v>18</v>
      </c>
      <c r="H41" s="2">
        <v>178.8</v>
      </c>
      <c r="I41" s="2">
        <v>60</v>
      </c>
      <c r="J41" s="2" t="s">
        <v>65</v>
      </c>
      <c r="K41" s="2" t="s">
        <v>65</v>
      </c>
      <c r="L41" s="2" t="s">
        <v>143</v>
      </c>
      <c r="M41" s="3">
        <v>44541</v>
      </c>
      <c r="N41" s="4">
        <f>Table1_3[[#This Row],[Admission_Date]]</f>
        <v>44541</v>
      </c>
      <c r="O41" s="5">
        <f>Table1_3[[#This Row],[Admission_Date]]</f>
        <v>44541</v>
      </c>
      <c r="P41" s="2">
        <v>46666.33</v>
      </c>
      <c r="Q41" s="2">
        <f t="shared" si="0"/>
        <v>1</v>
      </c>
      <c r="R41" s="2" t="s">
        <v>2523</v>
      </c>
      <c r="S41" s="2">
        <v>18.767923366815307</v>
      </c>
      <c r="T41" s="2" t="s">
        <v>1567</v>
      </c>
      <c r="U41" t="str">
        <f>INDEX(Table2[Doctor_Name],MATCH(Table1_3[[#This Row],[Department]],Table2[Department],0))</f>
        <v>Dr. Neha Liu</v>
      </c>
    </row>
    <row r="42" spans="1:21" x14ac:dyDescent="0.35">
      <c r="A42" s="2" t="s">
        <v>793</v>
      </c>
      <c r="B42" s="2" t="s">
        <v>2454</v>
      </c>
      <c r="C42" s="2">
        <v>50</v>
      </c>
      <c r="D42" s="2" t="s">
        <v>138</v>
      </c>
      <c r="E42" s="2" t="s">
        <v>119</v>
      </c>
      <c r="F42" s="2" t="s">
        <v>17</v>
      </c>
      <c r="G42" s="2" t="s">
        <v>35</v>
      </c>
      <c r="H42" s="2" t="s">
        <v>2519</v>
      </c>
      <c r="I42" s="2">
        <v>110.9</v>
      </c>
      <c r="J42" s="2" t="s">
        <v>19</v>
      </c>
      <c r="K42" s="2" t="s">
        <v>19</v>
      </c>
      <c r="L42" s="2" t="s">
        <v>55</v>
      </c>
      <c r="M42" s="3">
        <v>44660</v>
      </c>
      <c r="N42" s="4">
        <f>Table1_3[[#This Row],[Admission_Date]]</f>
        <v>44660</v>
      </c>
      <c r="O42" s="5">
        <f>Table1_3[[#This Row],[Admission_Date]]</f>
        <v>44660</v>
      </c>
      <c r="P42" s="2">
        <v>29206.21</v>
      </c>
      <c r="Q42" s="2">
        <f t="shared" si="0"/>
        <v>42</v>
      </c>
      <c r="R42" s="2" t="s">
        <v>2523</v>
      </c>
      <c r="S42" s="2" t="s">
        <v>36</v>
      </c>
      <c r="T42" s="2" t="s">
        <v>36</v>
      </c>
      <c r="U42" t="str">
        <f>INDEX(Table2[Doctor_Name],MATCH(Table1_3[[#This Row],[Department]],Table2[Department],0))</f>
        <v>Dr. Sunita Sanchez</v>
      </c>
    </row>
    <row r="43" spans="1:21" x14ac:dyDescent="0.35">
      <c r="A43" s="2" t="s">
        <v>219</v>
      </c>
      <c r="B43" s="2" t="s">
        <v>220</v>
      </c>
      <c r="C43" s="2">
        <v>49</v>
      </c>
      <c r="D43" s="2" t="s">
        <v>138</v>
      </c>
      <c r="E43" s="2" t="s">
        <v>24</v>
      </c>
      <c r="F43" s="2" t="s">
        <v>2518</v>
      </c>
      <c r="G43" s="2" t="s">
        <v>25</v>
      </c>
      <c r="H43" s="2">
        <v>155</v>
      </c>
      <c r="I43" s="2" t="s">
        <v>2519</v>
      </c>
      <c r="J43" s="2" t="s">
        <v>65</v>
      </c>
      <c r="K43" s="2" t="s">
        <v>36</v>
      </c>
      <c r="L43" s="2" t="s">
        <v>86</v>
      </c>
      <c r="M43" s="3">
        <v>44977</v>
      </c>
      <c r="N43" s="4">
        <f>Table1_3[[#This Row],[Admission_Date]]</f>
        <v>44977</v>
      </c>
      <c r="O43" s="5">
        <f>Table1_3[[#This Row],[Admission_Date]]</f>
        <v>44977</v>
      </c>
      <c r="P43" s="2">
        <v>49426.49</v>
      </c>
      <c r="Q43" s="2">
        <f t="shared" si="0"/>
        <v>1</v>
      </c>
      <c r="R43" s="2" t="s">
        <v>2523</v>
      </c>
      <c r="S43" s="2" t="s">
        <v>36</v>
      </c>
      <c r="T43" s="2" t="s">
        <v>36</v>
      </c>
      <c r="U43" t="str">
        <f>INDEX(Table2[Doctor_Name],MATCH(Table1_3[[#This Row],[Department]],Table2[Department],0))</f>
        <v>Dr. Meera Torres</v>
      </c>
    </row>
    <row r="44" spans="1:21" x14ac:dyDescent="0.35">
      <c r="A44" s="2" t="s">
        <v>1359</v>
      </c>
      <c r="B44" s="2" t="s">
        <v>1360</v>
      </c>
      <c r="C44" s="2">
        <v>13</v>
      </c>
      <c r="D44" s="2" t="s">
        <v>138</v>
      </c>
      <c r="E44" s="2" t="s">
        <v>230</v>
      </c>
      <c r="F44" s="2" t="s">
        <v>134</v>
      </c>
      <c r="G44" s="2" t="s">
        <v>160</v>
      </c>
      <c r="H44" s="2">
        <v>155.5</v>
      </c>
      <c r="I44" s="2">
        <v>99</v>
      </c>
      <c r="J44" s="2" t="s">
        <v>65</v>
      </c>
      <c r="K44" s="2" t="s">
        <v>65</v>
      </c>
      <c r="L44" s="2" t="s">
        <v>42</v>
      </c>
      <c r="M44" s="3">
        <v>44739</v>
      </c>
      <c r="N44" s="4">
        <f>Table1_3[[#This Row],[Admission_Date]]</f>
        <v>44739</v>
      </c>
      <c r="O44" s="5">
        <f>Table1_3[[#This Row],[Admission_Date]]</f>
        <v>44739</v>
      </c>
      <c r="P44" s="2">
        <v>31351.34</v>
      </c>
      <c r="Q44" s="2">
        <f t="shared" si="0"/>
        <v>45</v>
      </c>
      <c r="R44" s="2" t="s">
        <v>2521</v>
      </c>
      <c r="S44" s="2">
        <v>40.942504730099984</v>
      </c>
      <c r="T44" s="2" t="s">
        <v>2522</v>
      </c>
      <c r="U44" t="str">
        <f>INDEX(Table2[Doctor_Name],MATCH(Table1_3[[#This Row],[Department]],Table2[Department],0))</f>
        <v>Dr. Rahul Nair</v>
      </c>
    </row>
    <row r="45" spans="1:21" x14ac:dyDescent="0.35">
      <c r="A45" s="2" t="s">
        <v>239</v>
      </c>
      <c r="B45" s="2" t="s">
        <v>240</v>
      </c>
      <c r="C45" s="2">
        <v>92</v>
      </c>
      <c r="D45" s="2" t="s">
        <v>29</v>
      </c>
      <c r="E45" s="2" t="s">
        <v>16</v>
      </c>
      <c r="F45" s="2" t="s">
        <v>141</v>
      </c>
      <c r="G45" s="2" t="s">
        <v>124</v>
      </c>
      <c r="H45" s="2">
        <v>146.6</v>
      </c>
      <c r="I45" s="2">
        <v>107.2</v>
      </c>
      <c r="J45" s="2" t="s">
        <v>65</v>
      </c>
      <c r="K45" s="2" t="s">
        <v>36</v>
      </c>
      <c r="L45" s="2" t="s">
        <v>55</v>
      </c>
      <c r="M45" s="3">
        <v>44402</v>
      </c>
      <c r="N45" s="4">
        <f>Table1_3[[#This Row],[Admission_Date]]</f>
        <v>44402</v>
      </c>
      <c r="O45" s="5">
        <f>Table1_3[[#This Row],[Admission_Date]]</f>
        <v>44402</v>
      </c>
      <c r="P45" s="2">
        <v>8735.06</v>
      </c>
      <c r="Q45" s="2">
        <f t="shared" si="0"/>
        <v>42</v>
      </c>
      <c r="R45" s="2" t="s">
        <v>2525</v>
      </c>
      <c r="S45" s="2">
        <v>49.880045934310957</v>
      </c>
      <c r="T45" s="2" t="s">
        <v>2522</v>
      </c>
      <c r="U45" t="str">
        <f>INDEX(Table2[Doctor_Name],MATCH(Table1_3[[#This Row],[Department]],Table2[Department],0))</f>
        <v>Dr. Sunita Sanchez</v>
      </c>
    </row>
    <row r="46" spans="1:21" x14ac:dyDescent="0.35">
      <c r="A46" s="2" t="s">
        <v>354</v>
      </c>
      <c r="B46" s="2" t="s">
        <v>355</v>
      </c>
      <c r="C46" s="2">
        <v>32</v>
      </c>
      <c r="D46" s="2" t="s">
        <v>52</v>
      </c>
      <c r="E46" s="2" t="s">
        <v>217</v>
      </c>
      <c r="F46" s="2" t="s">
        <v>120</v>
      </c>
      <c r="G46" s="2" t="s">
        <v>90</v>
      </c>
      <c r="H46" s="2">
        <v>147.30000000000001</v>
      </c>
      <c r="I46" s="2">
        <v>62</v>
      </c>
      <c r="J46" s="2" t="s">
        <v>65</v>
      </c>
      <c r="K46" s="2" t="s">
        <v>65</v>
      </c>
      <c r="L46" s="2" t="s">
        <v>143</v>
      </c>
      <c r="M46" s="3">
        <v>44687</v>
      </c>
      <c r="N46" s="4">
        <f>Table1_3[[#This Row],[Admission_Date]]</f>
        <v>44687</v>
      </c>
      <c r="O46" s="5">
        <f>Table1_3[[#This Row],[Admission_Date]]</f>
        <v>44687</v>
      </c>
      <c r="P46" s="2">
        <v>0</v>
      </c>
      <c r="Q46" s="2">
        <f t="shared" si="0"/>
        <v>35</v>
      </c>
      <c r="R46" s="2" t="s">
        <v>2523</v>
      </c>
      <c r="S46" s="2">
        <v>28.574997154022459</v>
      </c>
      <c r="T46" s="2" t="s">
        <v>2526</v>
      </c>
      <c r="U46" t="str">
        <f>INDEX(Table2[Doctor_Name],MATCH(Table1_3[[#This Row],[Department]],Table2[Department],0))</f>
        <v>Dr. Neha Liu</v>
      </c>
    </row>
    <row r="47" spans="1:21" x14ac:dyDescent="0.35">
      <c r="A47" s="2" t="s">
        <v>1398</v>
      </c>
      <c r="B47" s="2" t="s">
        <v>240</v>
      </c>
      <c r="C47" s="2">
        <v>45</v>
      </c>
      <c r="D47" s="2" t="s">
        <v>52</v>
      </c>
      <c r="E47" s="2" t="s">
        <v>59</v>
      </c>
      <c r="F47" s="2" t="s">
        <v>36</v>
      </c>
      <c r="G47" s="2" t="s">
        <v>25</v>
      </c>
      <c r="H47" s="2">
        <v>165</v>
      </c>
      <c r="I47" s="2">
        <v>117</v>
      </c>
      <c r="J47" s="2" t="s">
        <v>65</v>
      </c>
      <c r="K47" s="2" t="s">
        <v>19</v>
      </c>
      <c r="L47" s="2" t="s">
        <v>2537</v>
      </c>
      <c r="M47" s="3">
        <v>45078</v>
      </c>
      <c r="N47" s="4">
        <f>Table1_3[[#This Row],[Admission_Date]]</f>
        <v>45078</v>
      </c>
      <c r="O47" s="5">
        <f>Table1_3[[#This Row],[Admission_Date]]</f>
        <v>45078</v>
      </c>
      <c r="P47" s="2">
        <v>15145.68</v>
      </c>
      <c r="Q47" s="2">
        <f t="shared" si="0"/>
        <v>30</v>
      </c>
      <c r="R47" s="2" t="s">
        <v>2523</v>
      </c>
      <c r="S47" s="2">
        <v>42.97520661157025</v>
      </c>
      <c r="T47" s="2" t="s">
        <v>2522</v>
      </c>
      <c r="U47" t="str">
        <f>INDEX(Table2[Doctor_Name],MATCH(Table1_3[[#This Row],[Department]],Table2[Department],0))</f>
        <v>Dr. Sunita Zhang</v>
      </c>
    </row>
    <row r="48" spans="1:21" x14ac:dyDescent="0.35">
      <c r="A48" s="2" t="s">
        <v>1451</v>
      </c>
      <c r="B48" s="2" t="s">
        <v>2511</v>
      </c>
      <c r="C48" s="2">
        <v>7</v>
      </c>
      <c r="D48" s="2" t="s">
        <v>52</v>
      </c>
      <c r="E48" s="2" t="s">
        <v>111</v>
      </c>
      <c r="F48" s="2" t="s">
        <v>36</v>
      </c>
      <c r="G48" s="2" t="s">
        <v>36</v>
      </c>
      <c r="H48" s="2">
        <v>159</v>
      </c>
      <c r="I48" s="2">
        <v>72</v>
      </c>
      <c r="J48" s="2" t="s">
        <v>36</v>
      </c>
      <c r="K48" s="2" t="s">
        <v>19</v>
      </c>
      <c r="L48" s="2" t="s">
        <v>143</v>
      </c>
      <c r="M48" s="3">
        <v>44477</v>
      </c>
      <c r="N48" s="4">
        <f>Table1_3[[#This Row],[Admission_Date]]</f>
        <v>44477</v>
      </c>
      <c r="O48" s="5">
        <f>Table1_3[[#This Row],[Admission_Date]]</f>
        <v>44477</v>
      </c>
      <c r="P48" s="2">
        <v>5309.61</v>
      </c>
      <c r="Q48" s="2">
        <f t="shared" si="0"/>
        <v>35</v>
      </c>
      <c r="R48" s="2" t="s">
        <v>2521</v>
      </c>
      <c r="S48" s="2">
        <v>28.479886080455675</v>
      </c>
      <c r="T48" s="2" t="s">
        <v>2526</v>
      </c>
      <c r="U48" t="str">
        <f>INDEX(Table2[Doctor_Name],MATCH(Table1_3[[#This Row],[Department]],Table2[Department],0))</f>
        <v>Dr. Neha Liu</v>
      </c>
    </row>
    <row r="49" spans="1:21" x14ac:dyDescent="0.35">
      <c r="A49" s="2" t="s">
        <v>1404</v>
      </c>
      <c r="B49" s="2" t="s">
        <v>1405</v>
      </c>
      <c r="C49" s="2">
        <v>38</v>
      </c>
      <c r="D49" s="2" t="s">
        <v>138</v>
      </c>
      <c r="E49" s="2" t="s">
        <v>111</v>
      </c>
      <c r="F49" s="2" t="s">
        <v>36</v>
      </c>
      <c r="G49" s="2" t="s">
        <v>90</v>
      </c>
      <c r="H49" s="2">
        <v>180</v>
      </c>
      <c r="I49" s="2">
        <v>122</v>
      </c>
      <c r="J49" s="2" t="s">
        <v>19</v>
      </c>
      <c r="K49" s="2" t="s">
        <v>65</v>
      </c>
      <c r="L49" s="2" t="s">
        <v>42</v>
      </c>
      <c r="M49" s="3">
        <v>44801</v>
      </c>
      <c r="N49" s="4">
        <f>Table1_3[[#This Row],[Admission_Date]]</f>
        <v>44801</v>
      </c>
      <c r="O49" s="5">
        <f>Table1_3[[#This Row],[Admission_Date]]</f>
        <v>44801</v>
      </c>
      <c r="P49" s="2">
        <v>43584.65</v>
      </c>
      <c r="Q49" s="2">
        <f t="shared" si="0"/>
        <v>45</v>
      </c>
      <c r="R49" s="2" t="s">
        <v>2523</v>
      </c>
      <c r="S49" s="2">
        <v>37.654320987654316</v>
      </c>
      <c r="T49" s="2" t="s">
        <v>2522</v>
      </c>
      <c r="U49" t="str">
        <f>INDEX(Table2[Doctor_Name],MATCH(Table1_3[[#This Row],[Department]],Table2[Department],0))</f>
        <v>Dr. Rahul Nair</v>
      </c>
    </row>
    <row r="50" spans="1:21" x14ac:dyDescent="0.35">
      <c r="A50" s="2" t="s">
        <v>1260</v>
      </c>
      <c r="B50" s="2" t="s">
        <v>72</v>
      </c>
      <c r="C50" s="2">
        <v>51</v>
      </c>
      <c r="D50" s="2" t="s">
        <v>138</v>
      </c>
      <c r="E50" s="2" t="s">
        <v>84</v>
      </c>
      <c r="F50" s="2" t="s">
        <v>17</v>
      </c>
      <c r="G50" s="2" t="s">
        <v>80</v>
      </c>
      <c r="H50" s="2">
        <v>191</v>
      </c>
      <c r="I50" s="2">
        <v>100.6</v>
      </c>
      <c r="J50" s="2" t="s">
        <v>36</v>
      </c>
      <c r="K50" s="2" t="s">
        <v>19</v>
      </c>
      <c r="L50" s="2" t="s">
        <v>199</v>
      </c>
      <c r="M50" s="3">
        <v>44957</v>
      </c>
      <c r="N50" s="4">
        <f>Table1_3[[#This Row],[Admission_Date]]</f>
        <v>44957</v>
      </c>
      <c r="O50" s="5">
        <f>Table1_3[[#This Row],[Admission_Date]]</f>
        <v>44957</v>
      </c>
      <c r="P50" s="2">
        <v>33904.410000000003</v>
      </c>
      <c r="Q50" s="2">
        <f t="shared" si="0"/>
        <v>34</v>
      </c>
      <c r="R50" s="2" t="s">
        <v>2523</v>
      </c>
      <c r="S50" s="2">
        <v>27.57599846495436</v>
      </c>
      <c r="T50" s="2" t="s">
        <v>2526</v>
      </c>
      <c r="U50" t="str">
        <f>INDEX(Table2[Doctor_Name],MATCH(Table1_3[[#This Row],[Department]],Table2[Department],0))</f>
        <v>Dr. Vikram Torres</v>
      </c>
    </row>
    <row r="51" spans="1:21" x14ac:dyDescent="0.35">
      <c r="A51" s="2" t="s">
        <v>366</v>
      </c>
      <c r="B51" s="2" t="s">
        <v>2425</v>
      </c>
      <c r="C51" s="2">
        <v>60</v>
      </c>
      <c r="D51" s="2" t="s">
        <v>138</v>
      </c>
      <c r="E51" s="2" t="s">
        <v>59</v>
      </c>
      <c r="F51" s="2" t="s">
        <v>36</v>
      </c>
      <c r="G51" s="2" t="s">
        <v>198</v>
      </c>
      <c r="H51" s="2">
        <v>145.1</v>
      </c>
      <c r="I51" s="2">
        <v>50</v>
      </c>
      <c r="J51" s="2" t="s">
        <v>19</v>
      </c>
      <c r="K51" s="2" t="s">
        <v>19</v>
      </c>
      <c r="L51" s="2" t="s">
        <v>103</v>
      </c>
      <c r="M51" s="3">
        <v>45126</v>
      </c>
      <c r="N51" s="4">
        <f>Table1_3[[#This Row],[Admission_Date]]</f>
        <v>45126</v>
      </c>
      <c r="O51" s="5">
        <f>Table1_3[[#This Row],[Admission_Date]]</f>
        <v>45126</v>
      </c>
      <c r="P51" s="2">
        <v>33689.07</v>
      </c>
      <c r="Q51" s="2">
        <f t="shared" si="0"/>
        <v>31</v>
      </c>
      <c r="R51" s="2" t="s">
        <v>2525</v>
      </c>
      <c r="S51" s="2">
        <v>23.748445070559008</v>
      </c>
      <c r="T51" s="2" t="s">
        <v>1567</v>
      </c>
      <c r="U51" t="str">
        <f>INDEX(Table2[Doctor_Name],MATCH(Table1_3[[#This Row],[Department]],Table2[Department],0))</f>
        <v>Dr. Suresh Johnson</v>
      </c>
    </row>
    <row r="52" spans="1:21" x14ac:dyDescent="0.35">
      <c r="A52" s="2" t="s">
        <v>848</v>
      </c>
      <c r="B52" s="2" t="s">
        <v>849</v>
      </c>
      <c r="C52" s="2">
        <v>63</v>
      </c>
      <c r="D52" s="2" t="s">
        <v>52</v>
      </c>
      <c r="E52" s="2" t="s">
        <v>217</v>
      </c>
      <c r="F52" s="2" t="s">
        <v>273</v>
      </c>
      <c r="G52" s="2" t="s">
        <v>208</v>
      </c>
      <c r="H52" s="2">
        <v>191</v>
      </c>
      <c r="I52" s="2">
        <v>117</v>
      </c>
      <c r="J52" s="2" t="s">
        <v>36</v>
      </c>
      <c r="K52" s="2" t="s">
        <v>65</v>
      </c>
      <c r="L52" s="2" t="s">
        <v>175</v>
      </c>
      <c r="M52" s="3">
        <v>45047</v>
      </c>
      <c r="N52" s="4">
        <f>Table1_3[[#This Row],[Admission_Date]]</f>
        <v>45047</v>
      </c>
      <c r="O52" s="5">
        <f>Table1_3[[#This Row],[Admission_Date]]</f>
        <v>45047</v>
      </c>
      <c r="P52" s="2">
        <v>20207.91</v>
      </c>
      <c r="Q52" s="2">
        <f t="shared" si="0"/>
        <v>38</v>
      </c>
      <c r="R52" s="2" t="s">
        <v>2525</v>
      </c>
      <c r="S52" s="2">
        <v>32.071489268386287</v>
      </c>
      <c r="T52" s="2" t="s">
        <v>2522</v>
      </c>
      <c r="U52" t="str">
        <f>INDEX(Table2[Doctor_Name],MATCH(Table1_3[[#This Row],[Department]],Table2[Department],0))</f>
        <v>Dr. Arvind Wilson</v>
      </c>
    </row>
    <row r="53" spans="1:21" x14ac:dyDescent="0.35">
      <c r="A53" s="2" t="s">
        <v>206</v>
      </c>
      <c r="B53" s="2" t="s">
        <v>207</v>
      </c>
      <c r="C53" s="2">
        <v>93</v>
      </c>
      <c r="D53" s="2" t="s">
        <v>29</v>
      </c>
      <c r="E53" s="2" t="s">
        <v>53</v>
      </c>
      <c r="F53" s="2" t="s">
        <v>2518</v>
      </c>
      <c r="G53" s="2" t="s">
        <v>208</v>
      </c>
      <c r="H53" s="2">
        <v>152</v>
      </c>
      <c r="I53" s="2">
        <v>124</v>
      </c>
      <c r="J53" s="2" t="s">
        <v>36</v>
      </c>
      <c r="K53" s="2" t="s">
        <v>36</v>
      </c>
      <c r="L53" s="2" t="s">
        <v>69</v>
      </c>
      <c r="M53" s="3">
        <v>44264</v>
      </c>
      <c r="N53" s="4">
        <f>Table1_3[[#This Row],[Admission_Date]]</f>
        <v>44264</v>
      </c>
      <c r="O53" s="5">
        <f>Table1_3[[#This Row],[Admission_Date]]</f>
        <v>44264</v>
      </c>
      <c r="P53" s="2">
        <v>42893.82</v>
      </c>
      <c r="Q53" s="2">
        <f t="shared" si="0"/>
        <v>107</v>
      </c>
      <c r="R53" s="2" t="s">
        <v>2525</v>
      </c>
      <c r="S53" s="2">
        <v>53.670360110803323</v>
      </c>
      <c r="T53" s="2" t="s">
        <v>2522</v>
      </c>
      <c r="U53" t="str">
        <f>INDEX(Table2[Doctor_Name],MATCH(Table1_3[[#This Row],[Department]],Table2[Department],0))</f>
        <v>Dr. Vikram Wang</v>
      </c>
    </row>
    <row r="54" spans="1:21" x14ac:dyDescent="0.35">
      <c r="A54" s="2" t="s">
        <v>206</v>
      </c>
      <c r="B54" s="2" t="s">
        <v>560</v>
      </c>
      <c r="C54" s="2">
        <v>77</v>
      </c>
      <c r="D54" s="2" t="s">
        <v>29</v>
      </c>
      <c r="E54" s="2" t="s">
        <v>146</v>
      </c>
      <c r="F54" s="2" t="s">
        <v>17</v>
      </c>
      <c r="G54" s="2" t="s">
        <v>112</v>
      </c>
      <c r="H54" s="2">
        <v>158</v>
      </c>
      <c r="I54" s="2" t="s">
        <v>2519</v>
      </c>
      <c r="J54" s="2" t="s">
        <v>65</v>
      </c>
      <c r="K54" s="2" t="s">
        <v>65</v>
      </c>
      <c r="L54" s="2" t="s">
        <v>226</v>
      </c>
      <c r="M54" s="3">
        <v>44674</v>
      </c>
      <c r="N54" s="4">
        <f>Table1_3[[#This Row],[Admission_Date]]</f>
        <v>44674</v>
      </c>
      <c r="O54" s="5">
        <f>Table1_3[[#This Row],[Admission_Date]]</f>
        <v>44674</v>
      </c>
      <c r="P54" s="2">
        <v>38831.24</v>
      </c>
      <c r="Q54" s="2">
        <f t="shared" si="0"/>
        <v>35</v>
      </c>
      <c r="R54" s="2" t="s">
        <v>2525</v>
      </c>
      <c r="S54" s="2" t="s">
        <v>36</v>
      </c>
      <c r="T54" s="2" t="s">
        <v>36</v>
      </c>
      <c r="U54" t="str">
        <f>INDEX(Table2[Doctor_Name],MATCH(Table1_3[[#This Row],[Department]],Table2[Department],0))</f>
        <v>Dr. Vikram Khan</v>
      </c>
    </row>
    <row r="55" spans="1:21" x14ac:dyDescent="0.35">
      <c r="A55" s="2" t="s">
        <v>1070</v>
      </c>
      <c r="B55" s="2" t="s">
        <v>1071</v>
      </c>
      <c r="C55" s="2">
        <v>15</v>
      </c>
      <c r="D55" s="2" t="s">
        <v>29</v>
      </c>
      <c r="E55" s="2" t="s">
        <v>24</v>
      </c>
      <c r="F55" s="2" t="s">
        <v>17</v>
      </c>
      <c r="G55" s="2" t="s">
        <v>35</v>
      </c>
      <c r="H55" s="2">
        <v>177.9</v>
      </c>
      <c r="I55" s="2" t="s">
        <v>2519</v>
      </c>
      <c r="J55" s="2" t="s">
        <v>19</v>
      </c>
      <c r="K55" s="2" t="s">
        <v>19</v>
      </c>
      <c r="L55" s="2" t="s">
        <v>69</v>
      </c>
      <c r="M55" s="3">
        <v>45059</v>
      </c>
      <c r="N55" s="4">
        <f>Table1_3[[#This Row],[Admission_Date]]</f>
        <v>45059</v>
      </c>
      <c r="O55" s="5">
        <f>Table1_3[[#This Row],[Admission_Date]]</f>
        <v>45059</v>
      </c>
      <c r="P55" s="2">
        <v>6125.64</v>
      </c>
      <c r="Q55" s="2">
        <f t="shared" si="0"/>
        <v>107</v>
      </c>
      <c r="R55" s="2" t="s">
        <v>2521</v>
      </c>
      <c r="S55" s="2" t="s">
        <v>36</v>
      </c>
      <c r="T55" s="2" t="s">
        <v>36</v>
      </c>
      <c r="U55" t="str">
        <f>INDEX(Table2[Doctor_Name],MATCH(Table1_3[[#This Row],[Department]],Table2[Department],0))</f>
        <v>Dr. Vikram Wang</v>
      </c>
    </row>
    <row r="56" spans="1:21" x14ac:dyDescent="0.35">
      <c r="A56" s="2" t="s">
        <v>254</v>
      </c>
      <c r="B56" s="2" t="s">
        <v>255</v>
      </c>
      <c r="C56" s="2">
        <v>79</v>
      </c>
      <c r="D56" s="2" t="s">
        <v>29</v>
      </c>
      <c r="E56" s="2" t="s">
        <v>111</v>
      </c>
      <c r="F56" s="2" t="s">
        <v>79</v>
      </c>
      <c r="G56" s="2" t="s">
        <v>60</v>
      </c>
      <c r="H56" s="2">
        <v>162.19999999999999</v>
      </c>
      <c r="I56" s="2">
        <v>78</v>
      </c>
      <c r="J56" s="2" t="s">
        <v>65</v>
      </c>
      <c r="K56" s="2" t="s">
        <v>36</v>
      </c>
      <c r="L56" s="2" t="s">
        <v>86</v>
      </c>
      <c r="M56" s="3">
        <v>45105</v>
      </c>
      <c r="N56" s="4">
        <f>Table1_3[[#This Row],[Admission_Date]]</f>
        <v>45105</v>
      </c>
      <c r="O56" s="5">
        <f>Table1_3[[#This Row],[Admission_Date]]</f>
        <v>45105</v>
      </c>
      <c r="P56" s="2">
        <v>45013.7</v>
      </c>
      <c r="Q56" s="2">
        <f t="shared" si="0"/>
        <v>8</v>
      </c>
      <c r="R56" s="2" t="s">
        <v>2525</v>
      </c>
      <c r="S56" s="2">
        <v>29.647829398787636</v>
      </c>
      <c r="T56" s="2" t="s">
        <v>2526</v>
      </c>
      <c r="U56" t="str">
        <f>INDEX(Table2[Doctor_Name],MATCH(Table1_3[[#This Row],[Department]],Table2[Department],0))</f>
        <v>Dr. Meera Torres</v>
      </c>
    </row>
    <row r="57" spans="1:21" x14ac:dyDescent="0.35">
      <c r="A57" s="2" t="s">
        <v>254</v>
      </c>
      <c r="B57" s="2" t="s">
        <v>801</v>
      </c>
      <c r="C57" s="2">
        <v>19</v>
      </c>
      <c r="D57" s="2" t="s">
        <v>138</v>
      </c>
      <c r="E57" s="2" t="s">
        <v>59</v>
      </c>
      <c r="F57" s="2" t="s">
        <v>2517</v>
      </c>
      <c r="G57" s="2" t="s">
        <v>90</v>
      </c>
      <c r="H57" s="2">
        <v>179</v>
      </c>
      <c r="I57" s="2">
        <v>45</v>
      </c>
      <c r="J57" s="2" t="s">
        <v>65</v>
      </c>
      <c r="K57" s="2" t="s">
        <v>36</v>
      </c>
      <c r="L57" s="2" t="s">
        <v>69</v>
      </c>
      <c r="M57" s="3">
        <v>44324</v>
      </c>
      <c r="N57" s="4">
        <f>Table1_3[[#This Row],[Admission_Date]]</f>
        <v>44324</v>
      </c>
      <c r="O57" s="5">
        <f>Table1_3[[#This Row],[Admission_Date]]</f>
        <v>44324</v>
      </c>
      <c r="P57" s="2">
        <v>3163.09</v>
      </c>
      <c r="Q57" s="2">
        <f t="shared" si="0"/>
        <v>107</v>
      </c>
      <c r="R57" s="2" t="s">
        <v>2527</v>
      </c>
      <c r="S57" s="2">
        <v>14.044505477357136</v>
      </c>
      <c r="T57" s="2" t="s">
        <v>2524</v>
      </c>
      <c r="U57" t="str">
        <f>INDEX(Table2[Doctor_Name],MATCH(Table1_3[[#This Row],[Department]],Table2[Department],0))</f>
        <v>Dr. Vikram Wang</v>
      </c>
    </row>
    <row r="58" spans="1:21" x14ac:dyDescent="0.35">
      <c r="A58" s="2" t="s">
        <v>1094</v>
      </c>
      <c r="B58" s="2" t="s">
        <v>1095</v>
      </c>
      <c r="C58" s="2">
        <v>77</v>
      </c>
      <c r="D58" s="2" t="s">
        <v>52</v>
      </c>
      <c r="E58" s="2" t="s">
        <v>59</v>
      </c>
      <c r="F58" s="2" t="s">
        <v>2517</v>
      </c>
      <c r="G58" s="2" t="s">
        <v>160</v>
      </c>
      <c r="H58" s="2">
        <v>167</v>
      </c>
      <c r="I58" s="2">
        <v>99</v>
      </c>
      <c r="J58" s="2" t="s">
        <v>65</v>
      </c>
      <c r="K58" s="2" t="s">
        <v>65</v>
      </c>
      <c r="L58" s="2" t="s">
        <v>86</v>
      </c>
      <c r="M58" s="3">
        <v>44664</v>
      </c>
      <c r="N58" s="4">
        <f>Table1_3[[#This Row],[Admission_Date]]</f>
        <v>44664</v>
      </c>
      <c r="O58" s="5">
        <f>Table1_3[[#This Row],[Admission_Date]]</f>
        <v>44664</v>
      </c>
      <c r="P58" s="2">
        <v>17277.12</v>
      </c>
      <c r="Q58" s="2">
        <f t="shared" si="0"/>
        <v>35</v>
      </c>
      <c r="R58" s="2" t="s">
        <v>2525</v>
      </c>
      <c r="S58" s="2">
        <v>35.49786654236437</v>
      </c>
      <c r="T58" s="2" t="s">
        <v>2522</v>
      </c>
      <c r="U58" t="str">
        <f>INDEX(Table2[Doctor_Name],MATCH(Table1_3[[#This Row],[Department]],Table2[Department],0))</f>
        <v>Dr. Meera Torres</v>
      </c>
    </row>
    <row r="59" spans="1:21" x14ac:dyDescent="0.35">
      <c r="A59" s="2" t="s">
        <v>343</v>
      </c>
      <c r="B59" s="2" t="s">
        <v>344</v>
      </c>
      <c r="C59" s="2">
        <v>20</v>
      </c>
      <c r="D59" s="2" t="s">
        <v>29</v>
      </c>
      <c r="E59" s="2" t="s">
        <v>16</v>
      </c>
      <c r="F59" s="2" t="s">
        <v>79</v>
      </c>
      <c r="G59" s="2" t="s">
        <v>80</v>
      </c>
      <c r="H59" s="2">
        <v>180</v>
      </c>
      <c r="I59" s="2">
        <v>74</v>
      </c>
      <c r="J59" s="2" t="s">
        <v>19</v>
      </c>
      <c r="K59" s="2" t="s">
        <v>19</v>
      </c>
      <c r="L59" s="2" t="s">
        <v>2537</v>
      </c>
      <c r="M59" s="3">
        <v>44872</v>
      </c>
      <c r="N59" s="4">
        <f>Table1_3[[#This Row],[Admission_Date]]</f>
        <v>44872</v>
      </c>
      <c r="O59" s="5">
        <f>Table1_3[[#This Row],[Admission_Date]]</f>
        <v>44872</v>
      </c>
      <c r="P59" s="2">
        <v>6550.45</v>
      </c>
      <c r="Q59" s="2">
        <f t="shared" si="0"/>
        <v>30</v>
      </c>
      <c r="R59" s="2" t="s">
        <v>2527</v>
      </c>
      <c r="S59" s="2">
        <v>22.839506172839506</v>
      </c>
      <c r="T59" s="2" t="s">
        <v>1567</v>
      </c>
      <c r="U59" t="str">
        <f>INDEX(Table2[Doctor_Name],MATCH(Table1_3[[#This Row],[Department]],Table2[Department],0))</f>
        <v>Dr. Sunita Zhang</v>
      </c>
    </row>
    <row r="60" spans="1:21" x14ac:dyDescent="0.35">
      <c r="A60" s="2" t="s">
        <v>993</v>
      </c>
      <c r="B60" s="2" t="s">
        <v>994</v>
      </c>
      <c r="C60" s="2">
        <v>46</v>
      </c>
      <c r="D60" s="2" t="s">
        <v>138</v>
      </c>
      <c r="E60" s="2" t="s">
        <v>115</v>
      </c>
      <c r="F60" s="2" t="s">
        <v>2518</v>
      </c>
      <c r="G60" s="2" t="s">
        <v>208</v>
      </c>
      <c r="H60" s="2">
        <v>155</v>
      </c>
      <c r="I60" s="2">
        <v>90</v>
      </c>
      <c r="J60" s="2" t="s">
        <v>19</v>
      </c>
      <c r="K60" s="2" t="s">
        <v>65</v>
      </c>
      <c r="L60" s="2" t="s">
        <v>226</v>
      </c>
      <c r="M60" s="3">
        <v>45075</v>
      </c>
      <c r="N60" s="4">
        <f>Table1_3[[#This Row],[Admission_Date]]</f>
        <v>45075</v>
      </c>
      <c r="O60" s="5">
        <f>Table1_3[[#This Row],[Admission_Date]]</f>
        <v>45075</v>
      </c>
      <c r="P60" s="2">
        <v>48740.06</v>
      </c>
      <c r="Q60" s="2">
        <f t="shared" si="0"/>
        <v>1</v>
      </c>
      <c r="R60" s="2" t="s">
        <v>2523</v>
      </c>
      <c r="S60" s="2">
        <v>37.460978147762745</v>
      </c>
      <c r="T60" s="2" t="s">
        <v>2522</v>
      </c>
      <c r="U60" t="str">
        <f>INDEX(Table2[Doctor_Name],MATCH(Table1_3[[#This Row],[Department]],Table2[Department],0))</f>
        <v>Dr. Vikram Khan</v>
      </c>
    </row>
    <row r="61" spans="1:21" x14ac:dyDescent="0.35">
      <c r="A61" s="2" t="s">
        <v>232</v>
      </c>
      <c r="B61" s="2" t="s">
        <v>233</v>
      </c>
      <c r="C61" s="2">
        <v>35</v>
      </c>
      <c r="D61" s="2" t="s">
        <v>29</v>
      </c>
      <c r="E61" s="2" t="s">
        <v>73</v>
      </c>
      <c r="F61" s="2" t="s">
        <v>273</v>
      </c>
      <c r="G61" s="2" t="s">
        <v>25</v>
      </c>
      <c r="H61" s="2">
        <v>186.1</v>
      </c>
      <c r="I61" s="2" t="s">
        <v>2519</v>
      </c>
      <c r="J61" s="2" t="s">
        <v>19</v>
      </c>
      <c r="K61" s="2" t="s">
        <v>65</v>
      </c>
      <c r="L61" s="2" t="s">
        <v>143</v>
      </c>
      <c r="M61" s="3">
        <v>44930</v>
      </c>
      <c r="N61" s="4">
        <f>Table1_3[[#This Row],[Admission_Date]]</f>
        <v>44930</v>
      </c>
      <c r="O61" s="5">
        <f>Table1_3[[#This Row],[Admission_Date]]</f>
        <v>44930</v>
      </c>
      <c r="P61" s="2">
        <v>7522.8</v>
      </c>
      <c r="Q61" s="2">
        <f t="shared" si="0"/>
        <v>35</v>
      </c>
      <c r="R61" s="2" t="s">
        <v>2523</v>
      </c>
      <c r="S61" s="2" t="s">
        <v>36</v>
      </c>
      <c r="T61" s="2" t="s">
        <v>36</v>
      </c>
      <c r="U61" t="str">
        <f>INDEX(Table2[Doctor_Name],MATCH(Table1_3[[#This Row],[Department]],Table2[Department],0))</f>
        <v>Dr. Neha Liu</v>
      </c>
    </row>
    <row r="62" spans="1:21" x14ac:dyDescent="0.35">
      <c r="A62" s="2" t="s">
        <v>105</v>
      </c>
      <c r="B62" s="2" t="s">
        <v>106</v>
      </c>
      <c r="C62" s="2">
        <v>48</v>
      </c>
      <c r="D62" s="2" t="s">
        <v>29</v>
      </c>
      <c r="E62" s="2" t="s">
        <v>111</v>
      </c>
      <c r="F62" s="2" t="s">
        <v>17</v>
      </c>
      <c r="G62" s="2" t="s">
        <v>36</v>
      </c>
      <c r="H62" s="2">
        <v>152</v>
      </c>
      <c r="I62" s="2">
        <v>108</v>
      </c>
      <c r="J62" s="2" t="s">
        <v>36</v>
      </c>
      <c r="K62" s="2" t="s">
        <v>65</v>
      </c>
      <c r="L62" s="2" t="s">
        <v>107</v>
      </c>
      <c r="M62" s="3">
        <v>45104</v>
      </c>
      <c r="N62" s="4">
        <f>Table1_3[[#This Row],[Admission_Date]]</f>
        <v>45104</v>
      </c>
      <c r="O62" s="5">
        <f>Table1_3[[#This Row],[Admission_Date]]</f>
        <v>45104</v>
      </c>
      <c r="P62" s="2">
        <v>21488.73</v>
      </c>
      <c r="Q62" s="2">
        <f t="shared" si="0"/>
        <v>83</v>
      </c>
      <c r="R62" s="2" t="s">
        <v>2523</v>
      </c>
      <c r="S62" s="2">
        <v>46.745152354570635</v>
      </c>
      <c r="T62" s="2" t="s">
        <v>2522</v>
      </c>
      <c r="U62" t="str">
        <f>INDEX(Table2[Doctor_Name],MATCH(Table1_3[[#This Row],[Department]],Table2[Department],0))</f>
        <v>Dr. Anita Sanchez</v>
      </c>
    </row>
    <row r="63" spans="1:21" x14ac:dyDescent="0.35">
      <c r="A63" s="2" t="s">
        <v>399</v>
      </c>
      <c r="B63" s="2" t="s">
        <v>400</v>
      </c>
      <c r="C63" s="2">
        <v>87</v>
      </c>
      <c r="D63" s="2" t="s">
        <v>29</v>
      </c>
      <c r="E63" s="2" t="s">
        <v>115</v>
      </c>
      <c r="F63" s="2" t="s">
        <v>36</v>
      </c>
      <c r="G63" s="2" t="s">
        <v>160</v>
      </c>
      <c r="H63" s="2">
        <v>153</v>
      </c>
      <c r="I63" s="2">
        <v>45</v>
      </c>
      <c r="J63" s="2" t="s">
        <v>19</v>
      </c>
      <c r="K63" s="2" t="s">
        <v>65</v>
      </c>
      <c r="L63" s="2" t="s">
        <v>42</v>
      </c>
      <c r="M63" s="3">
        <v>44449</v>
      </c>
      <c r="N63" s="4">
        <f>Table1_3[[#This Row],[Admission_Date]]</f>
        <v>44449</v>
      </c>
      <c r="O63" s="5">
        <f>Table1_3[[#This Row],[Admission_Date]]</f>
        <v>44449</v>
      </c>
      <c r="P63" s="2">
        <v>14827.63</v>
      </c>
      <c r="Q63" s="2">
        <f t="shared" si="0"/>
        <v>45</v>
      </c>
      <c r="R63" s="2" t="s">
        <v>2525</v>
      </c>
      <c r="S63" s="2">
        <v>19.223375624759708</v>
      </c>
      <c r="T63" s="2" t="s">
        <v>1567</v>
      </c>
      <c r="U63" t="str">
        <f>INDEX(Table2[Doctor_Name],MATCH(Table1_3[[#This Row],[Department]],Table2[Department],0))</f>
        <v>Dr. Rahul Nair</v>
      </c>
    </row>
    <row r="64" spans="1:21" x14ac:dyDescent="0.35">
      <c r="A64" s="2" t="s">
        <v>1410</v>
      </c>
      <c r="B64" s="2" t="s">
        <v>1411</v>
      </c>
      <c r="C64" s="2">
        <v>72</v>
      </c>
      <c r="D64" s="2" t="s">
        <v>138</v>
      </c>
      <c r="E64" s="2" t="s">
        <v>146</v>
      </c>
      <c r="F64" s="2" t="s">
        <v>17</v>
      </c>
      <c r="G64" s="2" t="s">
        <v>80</v>
      </c>
      <c r="H64" s="2">
        <v>182.6</v>
      </c>
      <c r="I64" s="2" t="s">
        <v>2519</v>
      </c>
      <c r="J64" s="2" t="s">
        <v>65</v>
      </c>
      <c r="K64" s="2" t="s">
        <v>65</v>
      </c>
      <c r="L64" s="2" t="s">
        <v>2537</v>
      </c>
      <c r="M64" s="3">
        <v>45076</v>
      </c>
      <c r="N64" s="4">
        <f>Table1_3[[#This Row],[Admission_Date]]</f>
        <v>45076</v>
      </c>
      <c r="O64" s="5">
        <f>Table1_3[[#This Row],[Admission_Date]]</f>
        <v>45076</v>
      </c>
      <c r="P64" s="2">
        <v>20518.93</v>
      </c>
      <c r="Q64" s="2">
        <f t="shared" si="0"/>
        <v>30</v>
      </c>
      <c r="R64" s="2" t="s">
        <v>2525</v>
      </c>
      <c r="S64" s="2" t="s">
        <v>36</v>
      </c>
      <c r="T64" s="2" t="s">
        <v>36</v>
      </c>
      <c r="U64" t="str">
        <f>INDEX(Table2[Doctor_Name],MATCH(Table1_3[[#This Row],[Department]],Table2[Department],0))</f>
        <v>Dr. Sunita Zhang</v>
      </c>
    </row>
    <row r="65" spans="1:21" x14ac:dyDescent="0.35">
      <c r="A65" s="2" t="s">
        <v>291</v>
      </c>
      <c r="B65" s="2" t="s">
        <v>292</v>
      </c>
      <c r="C65" s="2">
        <v>89</v>
      </c>
      <c r="D65" s="2" t="s">
        <v>138</v>
      </c>
      <c r="E65" s="2" t="s">
        <v>45</v>
      </c>
      <c r="F65" s="2" t="s">
        <v>36</v>
      </c>
      <c r="G65" s="2" t="s">
        <v>35</v>
      </c>
      <c r="H65" s="2">
        <v>175</v>
      </c>
      <c r="I65" s="2">
        <v>75.599999999999994</v>
      </c>
      <c r="J65" s="2" t="s">
        <v>36</v>
      </c>
      <c r="K65" s="2" t="s">
        <v>65</v>
      </c>
      <c r="L65" s="2" t="s">
        <v>226</v>
      </c>
      <c r="M65" s="3">
        <v>44879</v>
      </c>
      <c r="N65" s="4">
        <f>Table1_3[[#This Row],[Admission_Date]]</f>
        <v>44879</v>
      </c>
      <c r="O65" s="5">
        <f>Table1_3[[#This Row],[Admission_Date]]</f>
        <v>44879</v>
      </c>
      <c r="P65" s="2">
        <v>4280.78</v>
      </c>
      <c r="Q65" s="2">
        <f t="shared" si="0"/>
        <v>35</v>
      </c>
      <c r="R65" s="2" t="s">
        <v>2525</v>
      </c>
      <c r="S65" s="2">
        <v>24.685714285714283</v>
      </c>
      <c r="T65" s="2" t="s">
        <v>1567</v>
      </c>
      <c r="U65" t="str">
        <f>INDEX(Table2[Doctor_Name],MATCH(Table1_3[[#This Row],[Department]],Table2[Department],0))</f>
        <v>Dr. Vikram Khan</v>
      </c>
    </row>
    <row r="66" spans="1:21" x14ac:dyDescent="0.35">
      <c r="A66" s="2" t="s">
        <v>203</v>
      </c>
      <c r="B66" s="2" t="s">
        <v>204</v>
      </c>
      <c r="C66" s="2">
        <v>83</v>
      </c>
      <c r="D66" s="2" t="s">
        <v>138</v>
      </c>
      <c r="E66" s="2" t="s">
        <v>89</v>
      </c>
      <c r="F66" s="2" t="s">
        <v>2517</v>
      </c>
      <c r="G66" s="2" t="s">
        <v>198</v>
      </c>
      <c r="H66" s="2">
        <v>164.1</v>
      </c>
      <c r="I66" s="2">
        <v>99</v>
      </c>
      <c r="J66" s="2" t="s">
        <v>36</v>
      </c>
      <c r="K66" s="2" t="s">
        <v>65</v>
      </c>
      <c r="L66" s="2" t="s">
        <v>31</v>
      </c>
      <c r="M66" s="3">
        <v>45116</v>
      </c>
      <c r="N66" s="4">
        <f>Table1_3[[#This Row],[Admission_Date]]</f>
        <v>45116</v>
      </c>
      <c r="O66" s="5">
        <f>Table1_3[[#This Row],[Admission_Date]]</f>
        <v>45116</v>
      </c>
      <c r="P66" s="2">
        <v>46245.64</v>
      </c>
      <c r="Q66" s="2">
        <f t="shared" ref="Q66:Q129" si="1">SUMPRODUCT(($L$2:$L$5000=L66)*($O$2:$O$5000&gt;P66))+1</f>
        <v>1</v>
      </c>
      <c r="R66" s="2" t="s">
        <v>2525</v>
      </c>
      <c r="S66" s="2">
        <v>36.763600025400308</v>
      </c>
      <c r="T66" s="2" t="s">
        <v>2522</v>
      </c>
      <c r="U66" t="str">
        <f>INDEX(Table2[Doctor_Name],MATCH(Table1_3[[#This Row],[Department]],Table2[Department],0))</f>
        <v>Dr. Arvind Chen</v>
      </c>
    </row>
    <row r="67" spans="1:21" x14ac:dyDescent="0.35">
      <c r="A67" s="2" t="s">
        <v>1473</v>
      </c>
      <c r="B67" s="2" t="s">
        <v>2513</v>
      </c>
      <c r="C67" s="2">
        <v>57</v>
      </c>
      <c r="D67" s="2" t="s">
        <v>29</v>
      </c>
      <c r="E67" s="2" t="s">
        <v>59</v>
      </c>
      <c r="F67" s="2" t="s">
        <v>273</v>
      </c>
      <c r="G67" s="2" t="s">
        <v>74</v>
      </c>
      <c r="H67" s="2">
        <v>165</v>
      </c>
      <c r="I67" s="2">
        <v>81</v>
      </c>
      <c r="J67" s="2" t="s">
        <v>65</v>
      </c>
      <c r="K67" s="2" t="s">
        <v>19</v>
      </c>
      <c r="L67" s="2" t="s">
        <v>69</v>
      </c>
      <c r="M67" s="3">
        <v>44293</v>
      </c>
      <c r="N67" s="4">
        <f>Table1_3[[#This Row],[Admission_Date]]</f>
        <v>44293</v>
      </c>
      <c r="O67" s="5">
        <f>Table1_3[[#This Row],[Admission_Date]]</f>
        <v>44293</v>
      </c>
      <c r="P67" s="2">
        <v>29906.95</v>
      </c>
      <c r="Q67" s="2">
        <f t="shared" si="1"/>
        <v>107</v>
      </c>
      <c r="R67" s="2" t="s">
        <v>2523</v>
      </c>
      <c r="S67" s="2">
        <v>29.752066115702483</v>
      </c>
      <c r="T67" s="2" t="s">
        <v>2526</v>
      </c>
      <c r="U67" t="str">
        <f>INDEX(Table2[Doctor_Name],MATCH(Table1_3[[#This Row],[Department]],Table2[Department],0))</f>
        <v>Dr. Vikram Wang</v>
      </c>
    </row>
    <row r="68" spans="1:21" x14ac:dyDescent="0.35">
      <c r="A68" s="2" t="s">
        <v>460</v>
      </c>
      <c r="B68" s="2" t="s">
        <v>461</v>
      </c>
      <c r="C68" s="2">
        <v>84</v>
      </c>
      <c r="D68" s="2" t="s">
        <v>138</v>
      </c>
      <c r="E68" s="2" t="s">
        <v>24</v>
      </c>
      <c r="F68" s="2" t="s">
        <v>36</v>
      </c>
      <c r="G68" s="2" t="s">
        <v>160</v>
      </c>
      <c r="H68" s="2">
        <v>194</v>
      </c>
      <c r="I68" s="2">
        <v>115</v>
      </c>
      <c r="J68" s="2" t="s">
        <v>19</v>
      </c>
      <c r="K68" s="2" t="s">
        <v>36</v>
      </c>
      <c r="L68" s="2" t="s">
        <v>69</v>
      </c>
      <c r="M68" s="3">
        <v>44277</v>
      </c>
      <c r="N68" s="4">
        <f>Table1_3[[#This Row],[Admission_Date]]</f>
        <v>44277</v>
      </c>
      <c r="O68" s="5">
        <f>Table1_3[[#This Row],[Admission_Date]]</f>
        <v>44277</v>
      </c>
      <c r="P68" s="2">
        <v>35527.269999999997</v>
      </c>
      <c r="Q68" s="2">
        <f t="shared" si="1"/>
        <v>107</v>
      </c>
      <c r="R68" s="2" t="s">
        <v>2525</v>
      </c>
      <c r="S68" s="2">
        <v>30.555850781166971</v>
      </c>
      <c r="T68" s="2" t="s">
        <v>2522</v>
      </c>
      <c r="U68" t="str">
        <f>INDEX(Table2[Doctor_Name],MATCH(Table1_3[[#This Row],[Department]],Table2[Department],0))</f>
        <v>Dr. Vikram Wang</v>
      </c>
    </row>
    <row r="69" spans="1:21" x14ac:dyDescent="0.35">
      <c r="A69" s="2" t="s">
        <v>518</v>
      </c>
      <c r="B69" s="2" t="s">
        <v>479</v>
      </c>
      <c r="C69" s="2">
        <v>44</v>
      </c>
      <c r="D69" s="2" t="s">
        <v>29</v>
      </c>
      <c r="E69" s="2" t="s">
        <v>119</v>
      </c>
      <c r="F69" s="2" t="s">
        <v>141</v>
      </c>
      <c r="G69" s="2" t="s">
        <v>36</v>
      </c>
      <c r="H69" s="2">
        <v>181.5</v>
      </c>
      <c r="I69" s="2">
        <v>101.1</v>
      </c>
      <c r="J69" s="2" t="s">
        <v>19</v>
      </c>
      <c r="K69" s="2" t="s">
        <v>36</v>
      </c>
      <c r="L69" s="2" t="s">
        <v>199</v>
      </c>
      <c r="M69" s="3">
        <v>44297</v>
      </c>
      <c r="N69" s="4">
        <f>Table1_3[[#This Row],[Admission_Date]]</f>
        <v>44297</v>
      </c>
      <c r="O69" s="5">
        <f>Table1_3[[#This Row],[Admission_Date]]</f>
        <v>44297</v>
      </c>
      <c r="P69" s="2">
        <v>4534.3500000000004</v>
      </c>
      <c r="Q69" s="2">
        <f t="shared" si="1"/>
        <v>34</v>
      </c>
      <c r="R69" s="2" t="s">
        <v>2523</v>
      </c>
      <c r="S69" s="2">
        <v>30.690071261070507</v>
      </c>
      <c r="T69" s="2" t="s">
        <v>2522</v>
      </c>
      <c r="U69" t="str">
        <f>INDEX(Table2[Doctor_Name],MATCH(Table1_3[[#This Row],[Department]],Table2[Department],0))</f>
        <v>Dr. Vikram Torres</v>
      </c>
    </row>
    <row r="70" spans="1:21" x14ac:dyDescent="0.35">
      <c r="A70" s="2" t="s">
        <v>844</v>
      </c>
      <c r="B70" s="2" t="s">
        <v>1342</v>
      </c>
      <c r="C70" s="2">
        <v>11</v>
      </c>
      <c r="D70" s="2" t="s">
        <v>29</v>
      </c>
      <c r="E70" s="2" t="s">
        <v>84</v>
      </c>
      <c r="F70" s="2" t="s">
        <v>2518</v>
      </c>
      <c r="G70" s="2" t="s">
        <v>54</v>
      </c>
      <c r="H70" s="2">
        <v>181.2</v>
      </c>
      <c r="I70" s="2">
        <v>78.099999999999994</v>
      </c>
      <c r="J70" s="2" t="s">
        <v>19</v>
      </c>
      <c r="K70" s="2" t="s">
        <v>65</v>
      </c>
      <c r="L70" s="2" t="s">
        <v>107</v>
      </c>
      <c r="M70" s="3">
        <v>44566</v>
      </c>
      <c r="N70" s="4">
        <f>Table1_3[[#This Row],[Admission_Date]]</f>
        <v>44566</v>
      </c>
      <c r="O70" s="5">
        <f>Table1_3[[#This Row],[Admission_Date]]</f>
        <v>44566</v>
      </c>
      <c r="P70" s="2">
        <v>17415.75</v>
      </c>
      <c r="Q70" s="2">
        <f t="shared" si="1"/>
        <v>83</v>
      </c>
      <c r="R70" s="2" t="s">
        <v>2521</v>
      </c>
      <c r="S70" s="2">
        <v>23.786724753787603</v>
      </c>
      <c r="T70" s="2" t="s">
        <v>1567</v>
      </c>
      <c r="U70" t="str">
        <f>INDEX(Table2[Doctor_Name],MATCH(Table1_3[[#This Row],[Department]],Table2[Department],0))</f>
        <v>Dr. Anita Sanchez</v>
      </c>
    </row>
    <row r="71" spans="1:21" x14ac:dyDescent="0.35">
      <c r="A71" s="2" t="s">
        <v>1470</v>
      </c>
      <c r="B71" s="2" t="s">
        <v>1471</v>
      </c>
      <c r="C71" s="2">
        <v>65</v>
      </c>
      <c r="D71" s="2" t="s">
        <v>29</v>
      </c>
      <c r="E71" s="2" t="s">
        <v>84</v>
      </c>
      <c r="F71" s="2" t="s">
        <v>141</v>
      </c>
      <c r="G71" s="2" t="s">
        <v>191</v>
      </c>
      <c r="H71" s="2">
        <v>183</v>
      </c>
      <c r="I71" s="2">
        <v>54</v>
      </c>
      <c r="J71" s="2" t="s">
        <v>36</v>
      </c>
      <c r="K71" s="2" t="s">
        <v>65</v>
      </c>
      <c r="L71" s="2" t="s">
        <v>42</v>
      </c>
      <c r="M71" s="3">
        <v>44536</v>
      </c>
      <c r="N71" s="4">
        <f>Table1_3[[#This Row],[Admission_Date]]</f>
        <v>44536</v>
      </c>
      <c r="O71" s="5">
        <f>Table1_3[[#This Row],[Admission_Date]]</f>
        <v>44536</v>
      </c>
      <c r="P71" s="2">
        <v>22164.83</v>
      </c>
      <c r="Q71" s="2">
        <f t="shared" si="1"/>
        <v>45</v>
      </c>
      <c r="R71" s="2" t="s">
        <v>2525</v>
      </c>
      <c r="S71" s="2">
        <v>16.124697661918837</v>
      </c>
      <c r="T71" s="2" t="s">
        <v>2524</v>
      </c>
      <c r="U71" t="str">
        <f>INDEX(Table2[Doctor_Name],MATCH(Table1_3[[#This Row],[Department]],Table2[Department],0))</f>
        <v>Dr. Rahul Nair</v>
      </c>
    </row>
    <row r="72" spans="1:21" x14ac:dyDescent="0.35">
      <c r="A72" s="2" t="s">
        <v>1321</v>
      </c>
      <c r="B72" s="2" t="s">
        <v>958</v>
      </c>
      <c r="C72" s="2">
        <v>58</v>
      </c>
      <c r="D72" s="2" t="s">
        <v>138</v>
      </c>
      <c r="E72" s="2" t="s">
        <v>84</v>
      </c>
      <c r="F72" s="2" t="s">
        <v>2517</v>
      </c>
      <c r="G72" s="2" t="s">
        <v>280</v>
      </c>
      <c r="H72" s="2">
        <v>187</v>
      </c>
      <c r="I72" s="2">
        <v>125.2</v>
      </c>
      <c r="J72" s="2" t="s">
        <v>65</v>
      </c>
      <c r="K72" s="2" t="s">
        <v>19</v>
      </c>
      <c r="L72" s="2" t="s">
        <v>42</v>
      </c>
      <c r="M72" s="3">
        <v>44979</v>
      </c>
      <c r="N72" s="4">
        <f>Table1_3[[#This Row],[Admission_Date]]</f>
        <v>44979</v>
      </c>
      <c r="O72" s="5">
        <f>Table1_3[[#This Row],[Admission_Date]]</f>
        <v>44979</v>
      </c>
      <c r="P72" s="2">
        <v>26609.26</v>
      </c>
      <c r="Q72" s="2">
        <f t="shared" si="1"/>
        <v>45</v>
      </c>
      <c r="R72" s="2" t="s">
        <v>2523</v>
      </c>
      <c r="S72" s="2">
        <v>35.803139923932619</v>
      </c>
      <c r="T72" s="2" t="s">
        <v>2522</v>
      </c>
      <c r="U72" t="str">
        <f>INDEX(Table2[Doctor_Name],MATCH(Table1_3[[#This Row],[Department]],Table2[Department],0))</f>
        <v>Dr. Rahul Nair</v>
      </c>
    </row>
    <row r="73" spans="1:21" x14ac:dyDescent="0.35">
      <c r="A73" s="2" t="s">
        <v>839</v>
      </c>
      <c r="B73" s="2" t="s">
        <v>2461</v>
      </c>
      <c r="C73" s="2">
        <v>48</v>
      </c>
      <c r="D73" s="2" t="s">
        <v>52</v>
      </c>
      <c r="E73" s="2" t="s">
        <v>45</v>
      </c>
      <c r="F73" s="2" t="s">
        <v>134</v>
      </c>
      <c r="G73" s="2" t="s">
        <v>280</v>
      </c>
      <c r="H73" s="2">
        <v>165</v>
      </c>
      <c r="I73" s="2">
        <v>121</v>
      </c>
      <c r="J73" s="2" t="s">
        <v>65</v>
      </c>
      <c r="K73" s="2" t="s">
        <v>65</v>
      </c>
      <c r="L73" s="2" t="s">
        <v>86</v>
      </c>
      <c r="M73" s="3">
        <v>44651</v>
      </c>
      <c r="N73" s="4">
        <f>Table1_3[[#This Row],[Admission_Date]]</f>
        <v>44651</v>
      </c>
      <c r="O73" s="5">
        <f>Table1_3[[#This Row],[Admission_Date]]</f>
        <v>44651</v>
      </c>
      <c r="P73" s="2">
        <v>44289.17</v>
      </c>
      <c r="Q73" s="2">
        <f t="shared" si="1"/>
        <v>30</v>
      </c>
      <c r="R73" s="2" t="s">
        <v>2523</v>
      </c>
      <c r="S73" s="2">
        <v>44.44444444444445</v>
      </c>
      <c r="T73" s="2" t="s">
        <v>2522</v>
      </c>
      <c r="U73" t="str">
        <f>INDEX(Table2[Doctor_Name],MATCH(Table1_3[[#This Row],[Department]],Table2[Department],0))</f>
        <v>Dr. Meera Torres</v>
      </c>
    </row>
    <row r="74" spans="1:21" x14ac:dyDescent="0.35">
      <c r="A74" s="2" t="s">
        <v>304</v>
      </c>
      <c r="B74" s="2" t="s">
        <v>305</v>
      </c>
      <c r="C74" s="2">
        <v>29</v>
      </c>
      <c r="D74" s="2" t="s">
        <v>29</v>
      </c>
      <c r="E74" s="2" t="s">
        <v>24</v>
      </c>
      <c r="F74" s="2" t="s">
        <v>134</v>
      </c>
      <c r="G74" s="2" t="s">
        <v>36</v>
      </c>
      <c r="H74" s="2">
        <v>188</v>
      </c>
      <c r="I74" s="2">
        <v>65.8</v>
      </c>
      <c r="J74" s="2" t="s">
        <v>36</v>
      </c>
      <c r="K74" s="2" t="s">
        <v>19</v>
      </c>
      <c r="L74" s="2" t="s">
        <v>42</v>
      </c>
      <c r="M74" s="3">
        <v>45157</v>
      </c>
      <c r="N74" s="4">
        <f>Table1_3[[#This Row],[Admission_Date]]</f>
        <v>45157</v>
      </c>
      <c r="O74" s="5">
        <f>Table1_3[[#This Row],[Admission_Date]]</f>
        <v>45157</v>
      </c>
      <c r="P74" s="2">
        <v>30959.74</v>
      </c>
      <c r="Q74" s="2">
        <f t="shared" si="1"/>
        <v>45</v>
      </c>
      <c r="R74" s="2" t="s">
        <v>2523</v>
      </c>
      <c r="S74" s="2">
        <v>18.617021276595747</v>
      </c>
      <c r="T74" s="2" t="s">
        <v>1567</v>
      </c>
      <c r="U74" t="str">
        <f>INDEX(Table2[Doctor_Name],MATCH(Table1_3[[#This Row],[Department]],Table2[Department],0))</f>
        <v>Dr. Rahul Nair</v>
      </c>
    </row>
    <row r="75" spans="1:21" x14ac:dyDescent="0.35">
      <c r="A75" s="2" t="s">
        <v>787</v>
      </c>
      <c r="B75" s="2" t="s">
        <v>788</v>
      </c>
      <c r="C75" s="2">
        <v>55</v>
      </c>
      <c r="D75" s="2" t="s">
        <v>138</v>
      </c>
      <c r="E75" s="2" t="s">
        <v>130</v>
      </c>
      <c r="F75" s="2" t="s">
        <v>79</v>
      </c>
      <c r="G75" s="2" t="s">
        <v>112</v>
      </c>
      <c r="H75" s="2">
        <v>194.8</v>
      </c>
      <c r="I75" s="2">
        <v>96</v>
      </c>
      <c r="J75" s="2" t="s">
        <v>65</v>
      </c>
      <c r="K75" s="2" t="s">
        <v>65</v>
      </c>
      <c r="L75" s="2" t="s">
        <v>2537</v>
      </c>
      <c r="M75" s="3">
        <v>44230</v>
      </c>
      <c r="N75" s="4">
        <f>Table1_3[[#This Row],[Admission_Date]]</f>
        <v>44230</v>
      </c>
      <c r="O75" s="5">
        <f>Table1_3[[#This Row],[Admission_Date]]</f>
        <v>44230</v>
      </c>
      <c r="P75" s="2">
        <v>26011.1</v>
      </c>
      <c r="Q75" s="2">
        <f t="shared" si="1"/>
        <v>30</v>
      </c>
      <c r="R75" s="2" t="s">
        <v>2523</v>
      </c>
      <c r="S75" s="2">
        <v>25.298415897524546</v>
      </c>
      <c r="T75" s="2" t="s">
        <v>2526</v>
      </c>
      <c r="U75" t="str">
        <f>INDEX(Table2[Doctor_Name],MATCH(Table1_3[[#This Row],[Department]],Table2[Department],0))</f>
        <v>Dr. Sunita Zhang</v>
      </c>
    </row>
    <row r="76" spans="1:21" x14ac:dyDescent="0.35">
      <c r="A76" s="2" t="s">
        <v>1301</v>
      </c>
      <c r="B76" s="2" t="s">
        <v>2496</v>
      </c>
      <c r="C76" s="2">
        <v>86</v>
      </c>
      <c r="D76" s="2" t="s">
        <v>29</v>
      </c>
      <c r="E76" s="2" t="s">
        <v>45</v>
      </c>
      <c r="F76" s="2" t="s">
        <v>17</v>
      </c>
      <c r="G76" s="2" t="s">
        <v>80</v>
      </c>
      <c r="H76" s="2">
        <v>171.6</v>
      </c>
      <c r="I76" s="2">
        <v>82.3</v>
      </c>
      <c r="J76" s="2" t="s">
        <v>65</v>
      </c>
      <c r="K76" s="2" t="s">
        <v>19</v>
      </c>
      <c r="L76" s="2" t="s">
        <v>55</v>
      </c>
      <c r="M76" s="3">
        <v>44257</v>
      </c>
      <c r="N76" s="4">
        <f>Table1_3[[#This Row],[Admission_Date]]</f>
        <v>44257</v>
      </c>
      <c r="O76" s="5">
        <f>Table1_3[[#This Row],[Admission_Date]]</f>
        <v>44257</v>
      </c>
      <c r="P76" s="2">
        <v>39531.74</v>
      </c>
      <c r="Q76" s="2">
        <f t="shared" si="1"/>
        <v>42</v>
      </c>
      <c r="R76" s="2" t="s">
        <v>2525</v>
      </c>
      <c r="S76" s="2">
        <v>27.948935291592637</v>
      </c>
      <c r="T76" s="2" t="s">
        <v>2526</v>
      </c>
      <c r="U76" t="str">
        <f>INDEX(Table2[Doctor_Name],MATCH(Table1_3[[#This Row],[Department]],Table2[Department],0))</f>
        <v>Dr. Sunita Sanchez</v>
      </c>
    </row>
    <row r="77" spans="1:21" x14ac:dyDescent="0.35">
      <c r="A77" s="2" t="s">
        <v>937</v>
      </c>
      <c r="B77" s="2" t="s">
        <v>791</v>
      </c>
      <c r="C77" s="2">
        <v>6</v>
      </c>
      <c r="D77" s="2" t="s">
        <v>138</v>
      </c>
      <c r="E77" s="2" t="s">
        <v>84</v>
      </c>
      <c r="F77" s="2" t="s">
        <v>17</v>
      </c>
      <c r="G77" s="2" t="s">
        <v>36</v>
      </c>
      <c r="H77" s="2">
        <v>176</v>
      </c>
      <c r="I77" s="2">
        <v>83</v>
      </c>
      <c r="J77" s="2" t="s">
        <v>19</v>
      </c>
      <c r="K77" s="2" t="s">
        <v>65</v>
      </c>
      <c r="L77" s="2" t="s">
        <v>55</v>
      </c>
      <c r="M77" s="3">
        <v>45134</v>
      </c>
      <c r="N77" s="4">
        <f>Table1_3[[#This Row],[Admission_Date]]</f>
        <v>45134</v>
      </c>
      <c r="O77" s="5">
        <f>Table1_3[[#This Row],[Admission_Date]]</f>
        <v>45134</v>
      </c>
      <c r="P77" s="2">
        <v>0</v>
      </c>
      <c r="Q77" s="2">
        <f t="shared" si="1"/>
        <v>42</v>
      </c>
      <c r="R77" s="2" t="s">
        <v>2521</v>
      </c>
      <c r="S77" s="2">
        <v>26.794938016528928</v>
      </c>
      <c r="T77" s="2" t="s">
        <v>2526</v>
      </c>
      <c r="U77" t="str">
        <f>INDEX(Table2[Doctor_Name],MATCH(Table1_3[[#This Row],[Department]],Table2[Department],0))</f>
        <v>Dr. Sunita Sanchez</v>
      </c>
    </row>
    <row r="78" spans="1:21" x14ac:dyDescent="0.35">
      <c r="A78" s="2" t="s">
        <v>319</v>
      </c>
      <c r="B78" s="2" t="s">
        <v>99</v>
      </c>
      <c r="C78" s="2">
        <v>61</v>
      </c>
      <c r="D78" s="2" t="s">
        <v>29</v>
      </c>
      <c r="E78" s="2" t="s">
        <v>146</v>
      </c>
      <c r="F78" s="2" t="s">
        <v>2518</v>
      </c>
      <c r="G78" s="2" t="s">
        <v>280</v>
      </c>
      <c r="H78" s="2">
        <v>159</v>
      </c>
      <c r="I78" s="2">
        <v>111.9</v>
      </c>
      <c r="J78" s="2" t="s">
        <v>65</v>
      </c>
      <c r="K78" s="2" t="s">
        <v>36</v>
      </c>
      <c r="L78" s="2" t="s">
        <v>31</v>
      </c>
      <c r="M78" s="3">
        <v>44988</v>
      </c>
      <c r="N78" s="4">
        <f>Table1_3[[#This Row],[Admission_Date]]</f>
        <v>44988</v>
      </c>
      <c r="O78" s="5">
        <f>Table1_3[[#This Row],[Admission_Date]]</f>
        <v>44988</v>
      </c>
      <c r="P78" s="2">
        <v>48699.32</v>
      </c>
      <c r="Q78" s="2">
        <f t="shared" si="1"/>
        <v>1</v>
      </c>
      <c r="R78" s="2" t="s">
        <v>2525</v>
      </c>
      <c r="S78" s="2">
        <v>44.262489616708201</v>
      </c>
      <c r="T78" s="2" t="s">
        <v>2522</v>
      </c>
      <c r="U78" t="str">
        <f>INDEX(Table2[Doctor_Name],MATCH(Table1_3[[#This Row],[Department]],Table2[Department],0))</f>
        <v>Dr. Arvind Chen</v>
      </c>
    </row>
    <row r="79" spans="1:21" x14ac:dyDescent="0.35">
      <c r="A79" s="2" t="s">
        <v>117</v>
      </c>
      <c r="B79" s="2" t="s">
        <v>118</v>
      </c>
      <c r="C79" s="2">
        <v>11</v>
      </c>
      <c r="D79" s="2" t="s">
        <v>29</v>
      </c>
      <c r="E79" s="2" t="s">
        <v>119</v>
      </c>
      <c r="F79" s="2" t="s">
        <v>120</v>
      </c>
      <c r="G79" s="2" t="s">
        <v>18</v>
      </c>
      <c r="H79" s="2">
        <v>191</v>
      </c>
      <c r="I79" s="2">
        <v>67.599999999999994</v>
      </c>
      <c r="J79" s="2" t="s">
        <v>19</v>
      </c>
      <c r="K79" s="2" t="s">
        <v>36</v>
      </c>
      <c r="L79" s="2" t="s">
        <v>31</v>
      </c>
      <c r="M79" s="3">
        <v>44916</v>
      </c>
      <c r="N79" s="4">
        <f>Table1_3[[#This Row],[Admission_Date]]</f>
        <v>44916</v>
      </c>
      <c r="O79" s="5">
        <f>Table1_3[[#This Row],[Admission_Date]]</f>
        <v>44916</v>
      </c>
      <c r="P79" s="2">
        <v>2596.58</v>
      </c>
      <c r="Q79" s="2">
        <f t="shared" si="1"/>
        <v>37</v>
      </c>
      <c r="R79" s="2" t="s">
        <v>2521</v>
      </c>
      <c r="S79" s="2">
        <v>18.530193799512073</v>
      </c>
      <c r="T79" s="2" t="s">
        <v>1567</v>
      </c>
      <c r="U79" t="str">
        <f>INDEX(Table2[Doctor_Name],MATCH(Table1_3[[#This Row],[Department]],Table2[Department],0))</f>
        <v>Dr. Arvind Chen</v>
      </c>
    </row>
    <row r="80" spans="1:21" x14ac:dyDescent="0.35">
      <c r="A80" s="2" t="s">
        <v>920</v>
      </c>
      <c r="B80" s="2" t="s">
        <v>2465</v>
      </c>
      <c r="C80" s="2">
        <v>47</v>
      </c>
      <c r="D80" s="2" t="s">
        <v>52</v>
      </c>
      <c r="E80" s="2" t="s">
        <v>111</v>
      </c>
      <c r="F80" s="2" t="s">
        <v>120</v>
      </c>
      <c r="G80" s="2" t="s">
        <v>35</v>
      </c>
      <c r="H80" s="2">
        <v>161.4</v>
      </c>
      <c r="I80" s="2" t="s">
        <v>2519</v>
      </c>
      <c r="J80" s="2" t="s">
        <v>65</v>
      </c>
      <c r="K80" s="2" t="s">
        <v>65</v>
      </c>
      <c r="L80" s="2" t="s">
        <v>42</v>
      </c>
      <c r="M80" s="3">
        <v>44947</v>
      </c>
      <c r="N80" s="4">
        <f>Table1_3[[#This Row],[Admission_Date]]</f>
        <v>44947</v>
      </c>
      <c r="O80" s="5">
        <f>Table1_3[[#This Row],[Admission_Date]]</f>
        <v>44947</v>
      </c>
      <c r="P80" s="2">
        <v>19451.29</v>
      </c>
      <c r="Q80" s="2">
        <f t="shared" si="1"/>
        <v>45</v>
      </c>
      <c r="R80" s="2" t="s">
        <v>2523</v>
      </c>
      <c r="S80" s="2" t="s">
        <v>36</v>
      </c>
      <c r="T80" s="2" t="s">
        <v>36</v>
      </c>
      <c r="U80" t="str">
        <f>INDEX(Table2[Doctor_Name],MATCH(Table1_3[[#This Row],[Department]],Table2[Department],0))</f>
        <v>Dr. Rahul Nair</v>
      </c>
    </row>
    <row r="81" spans="1:21" x14ac:dyDescent="0.35">
      <c r="A81" s="2" t="s">
        <v>478</v>
      </c>
      <c r="B81" s="2" t="s">
        <v>479</v>
      </c>
      <c r="C81" s="2">
        <v>18</v>
      </c>
      <c r="D81" s="2" t="s">
        <v>52</v>
      </c>
      <c r="E81" s="2" t="s">
        <v>146</v>
      </c>
      <c r="F81" s="2" t="s">
        <v>2518</v>
      </c>
      <c r="G81" s="2" t="s">
        <v>102</v>
      </c>
      <c r="H81" s="2">
        <v>171.6</v>
      </c>
      <c r="I81" s="2" t="s">
        <v>2519</v>
      </c>
      <c r="J81" s="2" t="s">
        <v>19</v>
      </c>
      <c r="K81" s="2" t="s">
        <v>65</v>
      </c>
      <c r="L81" s="2" t="s">
        <v>175</v>
      </c>
      <c r="M81" s="3">
        <v>45019</v>
      </c>
      <c r="N81" s="4">
        <f>Table1_3[[#This Row],[Admission_Date]]</f>
        <v>45019</v>
      </c>
      <c r="O81" s="5">
        <f>Table1_3[[#This Row],[Admission_Date]]</f>
        <v>45019</v>
      </c>
      <c r="P81" s="2">
        <v>6329.17</v>
      </c>
      <c r="Q81" s="2">
        <f t="shared" si="1"/>
        <v>38</v>
      </c>
      <c r="R81" s="2" t="s">
        <v>2521</v>
      </c>
      <c r="S81" s="2" t="s">
        <v>36</v>
      </c>
      <c r="T81" s="2" t="s">
        <v>36</v>
      </c>
      <c r="U81" t="str">
        <f>INDEX(Table2[Doctor_Name],MATCH(Table1_3[[#This Row],[Department]],Table2[Department],0))</f>
        <v>Dr. Arvind Wilson</v>
      </c>
    </row>
    <row r="82" spans="1:21" x14ac:dyDescent="0.35">
      <c r="A82" s="2" t="s">
        <v>634</v>
      </c>
      <c r="B82" s="2" t="s">
        <v>635</v>
      </c>
      <c r="C82" s="2">
        <v>26</v>
      </c>
      <c r="D82" s="2" t="s">
        <v>138</v>
      </c>
      <c r="E82" s="2" t="s">
        <v>89</v>
      </c>
      <c r="F82" s="2" t="s">
        <v>79</v>
      </c>
      <c r="G82" s="2" t="s">
        <v>60</v>
      </c>
      <c r="H82" s="2">
        <v>193</v>
      </c>
      <c r="I82" s="2">
        <v>127.1</v>
      </c>
      <c r="J82" s="2" t="s">
        <v>36</v>
      </c>
      <c r="K82" s="2" t="s">
        <v>65</v>
      </c>
      <c r="L82" s="2" t="s">
        <v>55</v>
      </c>
      <c r="M82" s="3">
        <v>44329</v>
      </c>
      <c r="N82" s="4">
        <f>Table1_3[[#This Row],[Admission_Date]]</f>
        <v>44329</v>
      </c>
      <c r="O82" s="5">
        <f>Table1_3[[#This Row],[Admission_Date]]</f>
        <v>44329</v>
      </c>
      <c r="P82" s="2">
        <v>27337.48</v>
      </c>
      <c r="Q82" s="2">
        <f t="shared" si="1"/>
        <v>42</v>
      </c>
      <c r="R82" s="2" t="s">
        <v>2523</v>
      </c>
      <c r="S82" s="2">
        <v>34.121721388493647</v>
      </c>
      <c r="T82" s="2" t="s">
        <v>2522</v>
      </c>
      <c r="U82" t="str">
        <f>INDEX(Table2[Doctor_Name],MATCH(Table1_3[[#This Row],[Department]],Table2[Department],0))</f>
        <v>Dr. Sunita Sanchez</v>
      </c>
    </row>
    <row r="83" spans="1:21" x14ac:dyDescent="0.35">
      <c r="A83" s="2" t="s">
        <v>890</v>
      </c>
      <c r="B83" s="2" t="s">
        <v>891</v>
      </c>
      <c r="C83" s="2">
        <v>16</v>
      </c>
      <c r="D83" s="2" t="s">
        <v>138</v>
      </c>
      <c r="E83" s="2" t="s">
        <v>89</v>
      </c>
      <c r="F83" s="2" t="s">
        <v>2517</v>
      </c>
      <c r="G83" s="2" t="s">
        <v>36</v>
      </c>
      <c r="H83" s="2">
        <v>160.9</v>
      </c>
      <c r="I83" s="2">
        <v>128</v>
      </c>
      <c r="J83" s="2" t="s">
        <v>36</v>
      </c>
      <c r="K83" s="2" t="s">
        <v>65</v>
      </c>
      <c r="L83" s="2" t="s">
        <v>69</v>
      </c>
      <c r="M83" s="3">
        <v>44830</v>
      </c>
      <c r="N83" s="4">
        <f>Table1_3[[#This Row],[Admission_Date]]</f>
        <v>44830</v>
      </c>
      <c r="O83" s="5">
        <f>Table1_3[[#This Row],[Admission_Date]]</f>
        <v>44830</v>
      </c>
      <c r="P83" s="2">
        <v>49979.95</v>
      </c>
      <c r="Q83" s="2">
        <f t="shared" si="1"/>
        <v>1</v>
      </c>
      <c r="R83" s="2" t="s">
        <v>2521</v>
      </c>
      <c r="S83" s="2">
        <v>49.44221074665078</v>
      </c>
      <c r="T83" s="2" t="s">
        <v>2522</v>
      </c>
      <c r="U83" t="str">
        <f>INDEX(Table2[Doctor_Name],MATCH(Table1_3[[#This Row],[Department]],Table2[Department],0))</f>
        <v>Dr. Vikram Wang</v>
      </c>
    </row>
    <row r="84" spans="1:21" x14ac:dyDescent="0.35">
      <c r="A84" s="2" t="s">
        <v>1215</v>
      </c>
      <c r="B84" s="2" t="s">
        <v>2468</v>
      </c>
      <c r="C84" s="2">
        <v>10</v>
      </c>
      <c r="D84" s="2" t="s">
        <v>138</v>
      </c>
      <c r="E84" s="2" t="s">
        <v>230</v>
      </c>
      <c r="F84" s="2" t="s">
        <v>17</v>
      </c>
      <c r="G84" s="2" t="s">
        <v>208</v>
      </c>
      <c r="H84" s="2">
        <v>150</v>
      </c>
      <c r="I84" s="2">
        <v>52</v>
      </c>
      <c r="J84" s="2" t="s">
        <v>65</v>
      </c>
      <c r="K84" s="2" t="s">
        <v>19</v>
      </c>
      <c r="L84" s="2" t="s">
        <v>69</v>
      </c>
      <c r="M84" s="3">
        <v>44819</v>
      </c>
      <c r="N84" s="4">
        <f>Table1_3[[#This Row],[Admission_Date]]</f>
        <v>44819</v>
      </c>
      <c r="O84" s="5">
        <f>Table1_3[[#This Row],[Admission_Date]]</f>
        <v>44819</v>
      </c>
      <c r="P84" s="2">
        <v>8517.36</v>
      </c>
      <c r="Q84" s="2">
        <f t="shared" si="1"/>
        <v>107</v>
      </c>
      <c r="R84" s="2" t="s">
        <v>2521</v>
      </c>
      <c r="S84" s="2">
        <v>23.111111111111111</v>
      </c>
      <c r="T84" s="2" t="s">
        <v>1567</v>
      </c>
      <c r="U84" t="str">
        <f>INDEX(Table2[Doctor_Name],MATCH(Table1_3[[#This Row],[Department]],Table2[Department],0))</f>
        <v>Dr. Vikram Wang</v>
      </c>
    </row>
    <row r="85" spans="1:21" x14ac:dyDescent="0.35">
      <c r="A85" s="2" t="s">
        <v>50</v>
      </c>
      <c r="B85" s="2" t="s">
        <v>51</v>
      </c>
      <c r="C85" s="2">
        <v>82</v>
      </c>
      <c r="D85" s="2" t="s">
        <v>52</v>
      </c>
      <c r="E85" s="2" t="s">
        <v>53</v>
      </c>
      <c r="F85" s="2" t="s">
        <v>17</v>
      </c>
      <c r="G85" s="2" t="s">
        <v>54</v>
      </c>
      <c r="H85" s="2">
        <v>175.3</v>
      </c>
      <c r="I85" s="2">
        <v>92</v>
      </c>
      <c r="J85" s="2" t="s">
        <v>36</v>
      </c>
      <c r="K85" s="2" t="s">
        <v>65</v>
      </c>
      <c r="L85" s="2" t="s">
        <v>55</v>
      </c>
      <c r="M85" s="3">
        <v>44888</v>
      </c>
      <c r="N85" s="4">
        <f>Table1_3[[#This Row],[Admission_Date]]</f>
        <v>44888</v>
      </c>
      <c r="O85" s="5">
        <f>Table1_3[[#This Row],[Admission_Date]]</f>
        <v>44888</v>
      </c>
      <c r="P85" s="2">
        <v>2539.12</v>
      </c>
      <c r="Q85" s="2">
        <f t="shared" si="1"/>
        <v>42</v>
      </c>
      <c r="R85" s="2" t="s">
        <v>2525</v>
      </c>
      <c r="S85" s="2">
        <v>29.938083487552426</v>
      </c>
      <c r="T85" s="2" t="s">
        <v>2526</v>
      </c>
      <c r="U85" t="str">
        <f>INDEX(Table2[Doctor_Name],MATCH(Table1_3[[#This Row],[Department]],Table2[Department],0))</f>
        <v>Dr. Sunita Sanchez</v>
      </c>
    </row>
    <row r="86" spans="1:21" x14ac:dyDescent="0.35">
      <c r="A86" s="2" t="s">
        <v>1087</v>
      </c>
      <c r="B86" s="2" t="s">
        <v>1088</v>
      </c>
      <c r="C86" s="2">
        <v>74</v>
      </c>
      <c r="D86" s="2" t="s">
        <v>29</v>
      </c>
      <c r="E86" s="2" t="s">
        <v>119</v>
      </c>
      <c r="F86" s="2" t="s">
        <v>273</v>
      </c>
      <c r="G86" s="2" t="s">
        <v>160</v>
      </c>
      <c r="H86" s="2">
        <v>189</v>
      </c>
      <c r="I86" s="2">
        <v>112.4</v>
      </c>
      <c r="J86" s="2" t="s">
        <v>19</v>
      </c>
      <c r="K86" s="2" t="s">
        <v>65</v>
      </c>
      <c r="L86" s="2" t="s">
        <v>69</v>
      </c>
      <c r="M86" s="3">
        <v>44319</v>
      </c>
      <c r="N86" s="4">
        <f>Table1_3[[#This Row],[Admission_Date]]</f>
        <v>44319</v>
      </c>
      <c r="O86" s="5">
        <f>Table1_3[[#This Row],[Admission_Date]]</f>
        <v>44319</v>
      </c>
      <c r="P86" s="2">
        <v>22260.47</v>
      </c>
      <c r="Q86" s="2">
        <f t="shared" si="1"/>
        <v>107</v>
      </c>
      <c r="R86" s="2" t="s">
        <v>2525</v>
      </c>
      <c r="S86" s="2">
        <v>31.466084376137289</v>
      </c>
      <c r="T86" s="2" t="s">
        <v>2522</v>
      </c>
      <c r="U86" t="str">
        <f>INDEX(Table2[Doctor_Name],MATCH(Table1_3[[#This Row],[Department]],Table2[Department],0))</f>
        <v>Dr. Vikram Wang</v>
      </c>
    </row>
    <row r="87" spans="1:21" x14ac:dyDescent="0.35">
      <c r="A87" s="2" t="s">
        <v>165</v>
      </c>
      <c r="B87" s="2" t="s">
        <v>166</v>
      </c>
      <c r="C87" s="2">
        <v>52</v>
      </c>
      <c r="D87" s="2" t="s">
        <v>29</v>
      </c>
      <c r="E87" s="2" t="s">
        <v>130</v>
      </c>
      <c r="F87" s="2" t="s">
        <v>17</v>
      </c>
      <c r="G87" s="2" t="s">
        <v>160</v>
      </c>
      <c r="H87" s="2">
        <v>158.80000000000001</v>
      </c>
      <c r="I87" s="2">
        <v>80</v>
      </c>
      <c r="J87" s="2" t="s">
        <v>65</v>
      </c>
      <c r="K87" s="2" t="s">
        <v>19</v>
      </c>
      <c r="L87" s="2" t="s">
        <v>107</v>
      </c>
      <c r="M87" s="3">
        <v>44983</v>
      </c>
      <c r="N87" s="4">
        <f>Table1_3[[#This Row],[Admission_Date]]</f>
        <v>44983</v>
      </c>
      <c r="O87" s="5">
        <f>Table1_3[[#This Row],[Admission_Date]]</f>
        <v>44983</v>
      </c>
      <c r="P87" s="2">
        <v>21197.67</v>
      </c>
      <c r="Q87" s="2">
        <f t="shared" si="1"/>
        <v>83</v>
      </c>
      <c r="R87" s="2" t="s">
        <v>2523</v>
      </c>
      <c r="S87" s="2">
        <v>31.724076670748492</v>
      </c>
      <c r="T87" s="2" t="s">
        <v>2522</v>
      </c>
      <c r="U87" t="str">
        <f>INDEX(Table2[Doctor_Name],MATCH(Table1_3[[#This Row],[Department]],Table2[Department],0))</f>
        <v>Dr. Anita Sanchez</v>
      </c>
    </row>
    <row r="88" spans="1:21" x14ac:dyDescent="0.35">
      <c r="A88" s="2" t="s">
        <v>1061</v>
      </c>
      <c r="B88" s="2" t="s">
        <v>2476</v>
      </c>
      <c r="C88" s="2">
        <v>66</v>
      </c>
      <c r="D88" s="2" t="s">
        <v>138</v>
      </c>
      <c r="E88" s="2" t="s">
        <v>16</v>
      </c>
      <c r="F88" s="2" t="s">
        <v>79</v>
      </c>
      <c r="G88" s="2" t="s">
        <v>160</v>
      </c>
      <c r="H88" s="2">
        <v>194.7</v>
      </c>
      <c r="I88" s="2">
        <v>85</v>
      </c>
      <c r="J88" s="2" t="s">
        <v>65</v>
      </c>
      <c r="K88" s="2" t="s">
        <v>65</v>
      </c>
      <c r="L88" s="2" t="s">
        <v>107</v>
      </c>
      <c r="M88" s="3">
        <v>44473</v>
      </c>
      <c r="N88" s="4">
        <f>Table1_3[[#This Row],[Admission_Date]]</f>
        <v>44473</v>
      </c>
      <c r="O88" s="5">
        <f>Table1_3[[#This Row],[Admission_Date]]</f>
        <v>44473</v>
      </c>
      <c r="P88" s="2">
        <v>14427.14</v>
      </c>
      <c r="Q88" s="2">
        <f t="shared" si="1"/>
        <v>83</v>
      </c>
      <c r="R88" s="2" t="s">
        <v>2525</v>
      </c>
      <c r="S88" s="2">
        <v>22.42265437272097</v>
      </c>
      <c r="T88" s="2" t="s">
        <v>1567</v>
      </c>
      <c r="U88" t="str">
        <f>INDEX(Table2[Doctor_Name],MATCH(Table1_3[[#This Row],[Department]],Table2[Department],0))</f>
        <v>Dr. Anita Sanchez</v>
      </c>
    </row>
    <row r="89" spans="1:21" x14ac:dyDescent="0.35">
      <c r="A89" s="2" t="s">
        <v>926</v>
      </c>
      <c r="B89" s="2" t="s">
        <v>762</v>
      </c>
      <c r="C89" s="2">
        <v>18</v>
      </c>
      <c r="D89" s="2" t="s">
        <v>29</v>
      </c>
      <c r="E89" s="2" t="s">
        <v>111</v>
      </c>
      <c r="F89" s="2" t="s">
        <v>17</v>
      </c>
      <c r="G89" s="2" t="s">
        <v>36</v>
      </c>
      <c r="H89" s="2">
        <v>172</v>
      </c>
      <c r="I89" s="2">
        <v>57.5</v>
      </c>
      <c r="J89" s="2" t="s">
        <v>65</v>
      </c>
      <c r="K89" s="2" t="s">
        <v>19</v>
      </c>
      <c r="L89" s="2" t="s">
        <v>175</v>
      </c>
      <c r="M89" s="3">
        <v>45267</v>
      </c>
      <c r="N89" s="4">
        <f>Table1_3[[#This Row],[Admission_Date]]</f>
        <v>45267</v>
      </c>
      <c r="O89" s="5">
        <f>Table1_3[[#This Row],[Admission_Date]]</f>
        <v>45267</v>
      </c>
      <c r="P89" s="2">
        <v>14346.17</v>
      </c>
      <c r="Q89" s="2">
        <f t="shared" si="1"/>
        <v>38</v>
      </c>
      <c r="R89" s="2" t="s">
        <v>2521</v>
      </c>
      <c r="S89" s="2">
        <v>19.43618171984857</v>
      </c>
      <c r="T89" s="2" t="s">
        <v>1567</v>
      </c>
      <c r="U89" t="str">
        <f>INDEX(Table2[Doctor_Name],MATCH(Table1_3[[#This Row],[Department]],Table2[Department],0))</f>
        <v>Dr. Arvind Wilson</v>
      </c>
    </row>
    <row r="90" spans="1:21" x14ac:dyDescent="0.35">
      <c r="A90" s="2" t="s">
        <v>1459</v>
      </c>
      <c r="B90" s="2" t="s">
        <v>1460</v>
      </c>
      <c r="C90" s="2">
        <v>72</v>
      </c>
      <c r="D90" s="2" t="s">
        <v>138</v>
      </c>
      <c r="E90" s="2" t="s">
        <v>130</v>
      </c>
      <c r="F90" s="2" t="s">
        <v>17</v>
      </c>
      <c r="G90" s="2" t="s">
        <v>40</v>
      </c>
      <c r="H90" s="2">
        <v>165</v>
      </c>
      <c r="I90" s="2" t="s">
        <v>2519</v>
      </c>
      <c r="J90" s="2" t="s">
        <v>36</v>
      </c>
      <c r="K90" s="2" t="s">
        <v>65</v>
      </c>
      <c r="L90" s="2" t="s">
        <v>42</v>
      </c>
      <c r="M90" s="3">
        <v>45167</v>
      </c>
      <c r="N90" s="4">
        <f>Table1_3[[#This Row],[Admission_Date]]</f>
        <v>45167</v>
      </c>
      <c r="O90" s="5">
        <f>Table1_3[[#This Row],[Admission_Date]]</f>
        <v>45167</v>
      </c>
      <c r="P90" s="2">
        <v>23120.93</v>
      </c>
      <c r="Q90" s="2">
        <f t="shared" si="1"/>
        <v>45</v>
      </c>
      <c r="R90" s="2" t="s">
        <v>2525</v>
      </c>
      <c r="S90" s="2" t="s">
        <v>36</v>
      </c>
      <c r="T90" s="2" t="s">
        <v>36</v>
      </c>
      <c r="U90" t="str">
        <f>INDEX(Table2[Doctor_Name],MATCH(Table1_3[[#This Row],[Department]],Table2[Department],0))</f>
        <v>Dr. Rahul Nair</v>
      </c>
    </row>
    <row r="91" spans="1:21" x14ac:dyDescent="0.35">
      <c r="A91" s="2" t="s">
        <v>1378</v>
      </c>
      <c r="B91" s="2" t="s">
        <v>2503</v>
      </c>
      <c r="C91" s="2">
        <v>95</v>
      </c>
      <c r="D91" s="2" t="s">
        <v>138</v>
      </c>
      <c r="E91" s="2" t="s">
        <v>59</v>
      </c>
      <c r="F91" s="2" t="s">
        <v>17</v>
      </c>
      <c r="G91" s="2" t="s">
        <v>160</v>
      </c>
      <c r="H91" s="2">
        <v>160</v>
      </c>
      <c r="I91" s="2">
        <v>41.5</v>
      </c>
      <c r="J91" s="2" t="s">
        <v>36</v>
      </c>
      <c r="K91" s="2" t="s">
        <v>65</v>
      </c>
      <c r="L91" s="2" t="s">
        <v>103</v>
      </c>
      <c r="M91" s="3">
        <v>44827</v>
      </c>
      <c r="N91" s="4">
        <f>Table1_3[[#This Row],[Admission_Date]]</f>
        <v>44827</v>
      </c>
      <c r="O91" s="5">
        <f>Table1_3[[#This Row],[Admission_Date]]</f>
        <v>44827</v>
      </c>
      <c r="P91" s="2">
        <v>43668.91</v>
      </c>
      <c r="Q91" s="2">
        <f t="shared" si="1"/>
        <v>31</v>
      </c>
      <c r="R91" s="2" t="s">
        <v>2525</v>
      </c>
      <c r="S91" s="2">
        <v>16.210937499999996</v>
      </c>
      <c r="T91" s="2" t="s">
        <v>2524</v>
      </c>
      <c r="U91" t="str">
        <f>INDEX(Table2[Doctor_Name],MATCH(Table1_3[[#This Row],[Department]],Table2[Department],0))</f>
        <v>Dr. Suresh Johnson</v>
      </c>
    </row>
    <row r="92" spans="1:21" x14ac:dyDescent="0.35">
      <c r="A92" s="2" t="s">
        <v>1227</v>
      </c>
      <c r="B92" s="2" t="s">
        <v>1228</v>
      </c>
      <c r="C92" s="2">
        <v>75</v>
      </c>
      <c r="D92" s="2" t="s">
        <v>138</v>
      </c>
      <c r="E92" s="2" t="s">
        <v>73</v>
      </c>
      <c r="F92" s="2" t="s">
        <v>2518</v>
      </c>
      <c r="G92" s="2" t="s">
        <v>208</v>
      </c>
      <c r="H92" s="2">
        <v>172</v>
      </c>
      <c r="I92" s="2">
        <v>79.7</v>
      </c>
      <c r="J92" s="2" t="s">
        <v>19</v>
      </c>
      <c r="K92" s="2" t="s">
        <v>19</v>
      </c>
      <c r="L92" s="2" t="s">
        <v>55</v>
      </c>
      <c r="M92" s="3">
        <v>44614</v>
      </c>
      <c r="N92" s="4">
        <f>Table1_3[[#This Row],[Admission_Date]]</f>
        <v>44614</v>
      </c>
      <c r="O92" s="5">
        <f>Table1_3[[#This Row],[Admission_Date]]</f>
        <v>44614</v>
      </c>
      <c r="P92" s="2">
        <v>25340.07</v>
      </c>
      <c r="Q92" s="2">
        <f t="shared" si="1"/>
        <v>42</v>
      </c>
      <c r="R92" s="2" t="s">
        <v>2525</v>
      </c>
      <c r="S92" s="2">
        <v>26.940237966468366</v>
      </c>
      <c r="T92" s="2" t="s">
        <v>2526</v>
      </c>
      <c r="U92" t="str">
        <f>INDEX(Table2[Doctor_Name],MATCH(Table1_3[[#This Row],[Department]],Table2[Department],0))</f>
        <v>Dr. Sunita Sanchez</v>
      </c>
    </row>
    <row r="93" spans="1:21" x14ac:dyDescent="0.35">
      <c r="A93" s="2" t="s">
        <v>1418</v>
      </c>
      <c r="B93" s="2" t="s">
        <v>994</v>
      </c>
      <c r="C93" s="2">
        <v>72</v>
      </c>
      <c r="D93" s="2" t="s">
        <v>138</v>
      </c>
      <c r="E93" s="2" t="s">
        <v>146</v>
      </c>
      <c r="F93" s="2" t="s">
        <v>36</v>
      </c>
      <c r="G93" s="2" t="s">
        <v>160</v>
      </c>
      <c r="H93" s="2">
        <v>158</v>
      </c>
      <c r="I93" s="2">
        <v>70.8</v>
      </c>
      <c r="J93" s="2" t="s">
        <v>36</v>
      </c>
      <c r="K93" s="2" t="s">
        <v>36</v>
      </c>
      <c r="L93" s="2" t="s">
        <v>143</v>
      </c>
      <c r="M93" s="3">
        <v>44738</v>
      </c>
      <c r="N93" s="4">
        <f>Table1_3[[#This Row],[Admission_Date]]</f>
        <v>44738</v>
      </c>
      <c r="O93" s="5">
        <f>Table1_3[[#This Row],[Admission_Date]]</f>
        <v>44738</v>
      </c>
      <c r="P93" s="2">
        <v>24466.92</v>
      </c>
      <c r="Q93" s="2">
        <f t="shared" si="1"/>
        <v>35</v>
      </c>
      <c r="R93" s="2" t="s">
        <v>2525</v>
      </c>
      <c r="S93" s="2">
        <v>28.360839609037008</v>
      </c>
      <c r="T93" s="2" t="s">
        <v>2526</v>
      </c>
      <c r="U93" t="str">
        <f>INDEX(Table2[Doctor_Name],MATCH(Table1_3[[#This Row],[Department]],Table2[Department],0))</f>
        <v>Dr. Neha Liu</v>
      </c>
    </row>
    <row r="94" spans="1:21" x14ac:dyDescent="0.35">
      <c r="A94" s="2" t="s">
        <v>285</v>
      </c>
      <c r="B94" s="2" t="s">
        <v>286</v>
      </c>
      <c r="C94" s="2">
        <v>63</v>
      </c>
      <c r="D94" s="2" t="s">
        <v>138</v>
      </c>
      <c r="E94" s="2" t="s">
        <v>16</v>
      </c>
      <c r="F94" s="2" t="s">
        <v>17</v>
      </c>
      <c r="G94" s="2" t="s">
        <v>18</v>
      </c>
      <c r="H94" s="2">
        <v>162</v>
      </c>
      <c r="I94" s="2">
        <v>91.6</v>
      </c>
      <c r="J94" s="2" t="s">
        <v>65</v>
      </c>
      <c r="K94" s="2" t="s">
        <v>65</v>
      </c>
      <c r="L94" s="2" t="s">
        <v>42</v>
      </c>
      <c r="M94" s="3">
        <v>44496</v>
      </c>
      <c r="N94" s="4">
        <f>Table1_3[[#This Row],[Admission_Date]]</f>
        <v>44496</v>
      </c>
      <c r="O94" s="5">
        <f>Table1_3[[#This Row],[Admission_Date]]</f>
        <v>44496</v>
      </c>
      <c r="P94" s="2">
        <v>2582.29</v>
      </c>
      <c r="Q94" s="2">
        <f t="shared" si="1"/>
        <v>45</v>
      </c>
      <c r="R94" s="2" t="s">
        <v>2525</v>
      </c>
      <c r="S94" s="2">
        <v>34.90321597317481</v>
      </c>
      <c r="T94" s="2" t="s">
        <v>2522</v>
      </c>
      <c r="U94" t="str">
        <f>INDEX(Table2[Doctor_Name],MATCH(Table1_3[[#This Row],[Department]],Table2[Department],0))</f>
        <v>Dr. Rahul Nair</v>
      </c>
    </row>
    <row r="95" spans="1:21" x14ac:dyDescent="0.35">
      <c r="A95" s="2" t="s">
        <v>1413</v>
      </c>
      <c r="B95" s="2" t="s">
        <v>1414</v>
      </c>
      <c r="C95" s="2">
        <v>69</v>
      </c>
      <c r="D95" s="2" t="s">
        <v>29</v>
      </c>
      <c r="E95" s="2" t="s">
        <v>84</v>
      </c>
      <c r="F95" s="2" t="s">
        <v>273</v>
      </c>
      <c r="G95" s="2" t="s">
        <v>208</v>
      </c>
      <c r="H95" s="2">
        <v>150.6</v>
      </c>
      <c r="I95" s="2">
        <v>100</v>
      </c>
      <c r="J95" s="2" t="s">
        <v>36</v>
      </c>
      <c r="K95" s="2" t="s">
        <v>65</v>
      </c>
      <c r="L95" s="2" t="s">
        <v>69</v>
      </c>
      <c r="M95" s="3">
        <v>44402</v>
      </c>
      <c r="N95" s="4">
        <f>Table1_3[[#This Row],[Admission_Date]]</f>
        <v>44402</v>
      </c>
      <c r="O95" s="5">
        <f>Table1_3[[#This Row],[Admission_Date]]</f>
        <v>44402</v>
      </c>
      <c r="P95" s="2">
        <v>16849.53</v>
      </c>
      <c r="Q95" s="2">
        <f t="shared" si="1"/>
        <v>107</v>
      </c>
      <c r="R95" s="2" t="s">
        <v>2525</v>
      </c>
      <c r="S95" s="2">
        <v>44.091010901061537</v>
      </c>
      <c r="T95" s="2" t="s">
        <v>2522</v>
      </c>
      <c r="U95" t="str">
        <f>INDEX(Table2[Doctor_Name],MATCH(Table1_3[[#This Row],[Department]],Table2[Department],0))</f>
        <v>Dr. Vikram Wang</v>
      </c>
    </row>
    <row r="96" spans="1:21" x14ac:dyDescent="0.35">
      <c r="A96" s="2" t="s">
        <v>1306</v>
      </c>
      <c r="B96" s="2" t="s">
        <v>609</v>
      </c>
      <c r="C96" s="2">
        <v>61</v>
      </c>
      <c r="D96" s="2" t="s">
        <v>138</v>
      </c>
      <c r="E96" s="2" t="s">
        <v>24</v>
      </c>
      <c r="F96" s="2" t="s">
        <v>2518</v>
      </c>
      <c r="G96" s="2" t="s">
        <v>36</v>
      </c>
      <c r="H96" s="2">
        <v>192.9</v>
      </c>
      <c r="I96" s="2">
        <v>48</v>
      </c>
      <c r="J96" s="2" t="s">
        <v>19</v>
      </c>
      <c r="K96" s="2" t="s">
        <v>36</v>
      </c>
      <c r="L96" s="2" t="s">
        <v>55</v>
      </c>
      <c r="M96" s="3">
        <v>44273</v>
      </c>
      <c r="N96" s="4">
        <f>Table1_3[[#This Row],[Admission_Date]]</f>
        <v>44273</v>
      </c>
      <c r="O96" s="5">
        <f>Table1_3[[#This Row],[Admission_Date]]</f>
        <v>44273</v>
      </c>
      <c r="P96" s="2">
        <v>21185.31</v>
      </c>
      <c r="Q96" s="2">
        <f t="shared" si="1"/>
        <v>42</v>
      </c>
      <c r="R96" s="2" t="s">
        <v>2525</v>
      </c>
      <c r="S96" s="2">
        <v>12.899615994556362</v>
      </c>
      <c r="T96" s="2" t="s">
        <v>2524</v>
      </c>
      <c r="U96" t="str">
        <f>INDEX(Table2[Doctor_Name],MATCH(Table1_3[[#This Row],[Department]],Table2[Department],0))</f>
        <v>Dr. Sunita Sanchez</v>
      </c>
    </row>
    <row r="97" spans="1:21" x14ac:dyDescent="0.35">
      <c r="A97" s="2" t="s">
        <v>377</v>
      </c>
      <c r="B97" s="2" t="s">
        <v>2426</v>
      </c>
      <c r="C97" s="2">
        <v>38</v>
      </c>
      <c r="D97" s="2" t="s">
        <v>29</v>
      </c>
      <c r="E97" s="2" t="s">
        <v>24</v>
      </c>
      <c r="F97" s="2" t="s">
        <v>79</v>
      </c>
      <c r="G97" s="2" t="s">
        <v>74</v>
      </c>
      <c r="H97" s="2" t="s">
        <v>2519</v>
      </c>
      <c r="I97" s="2">
        <v>129</v>
      </c>
      <c r="J97" s="2" t="s">
        <v>19</v>
      </c>
      <c r="K97" s="2" t="s">
        <v>19</v>
      </c>
      <c r="L97" s="2" t="s">
        <v>31</v>
      </c>
      <c r="M97" s="3">
        <v>44755</v>
      </c>
      <c r="N97" s="4">
        <f>Table1_3[[#This Row],[Admission_Date]]</f>
        <v>44755</v>
      </c>
      <c r="O97" s="5">
        <f>Table1_3[[#This Row],[Admission_Date]]</f>
        <v>44755</v>
      </c>
      <c r="P97" s="2">
        <v>40536.29</v>
      </c>
      <c r="Q97" s="2">
        <f t="shared" si="1"/>
        <v>37</v>
      </c>
      <c r="R97" s="2" t="s">
        <v>2523</v>
      </c>
      <c r="S97" s="2" t="s">
        <v>36</v>
      </c>
      <c r="T97" s="2" t="s">
        <v>36</v>
      </c>
      <c r="U97" t="str">
        <f>INDEX(Table2[Doctor_Name],MATCH(Table1_3[[#This Row],[Department]],Table2[Department],0))</f>
        <v>Dr. Arvind Chen</v>
      </c>
    </row>
    <row r="98" spans="1:21" x14ac:dyDescent="0.35">
      <c r="A98" s="2" t="s">
        <v>1403</v>
      </c>
      <c r="B98" s="2" t="s">
        <v>2507</v>
      </c>
      <c r="C98" s="2">
        <v>38</v>
      </c>
      <c r="D98" s="2" t="s">
        <v>52</v>
      </c>
      <c r="E98" s="2" t="s">
        <v>146</v>
      </c>
      <c r="F98" s="2" t="s">
        <v>2518</v>
      </c>
      <c r="G98" s="2" t="s">
        <v>90</v>
      </c>
      <c r="H98" s="2">
        <v>150.9</v>
      </c>
      <c r="I98" s="2">
        <v>86</v>
      </c>
      <c r="J98" s="2" t="s">
        <v>65</v>
      </c>
      <c r="K98" s="2" t="s">
        <v>36</v>
      </c>
      <c r="L98" s="2" t="s">
        <v>69</v>
      </c>
      <c r="M98" s="3">
        <v>44575</v>
      </c>
      <c r="N98" s="4">
        <f>Table1_3[[#This Row],[Admission_Date]]</f>
        <v>44575</v>
      </c>
      <c r="O98" s="5">
        <f>Table1_3[[#This Row],[Admission_Date]]</f>
        <v>44575</v>
      </c>
      <c r="P98" s="2">
        <v>24133.98</v>
      </c>
      <c r="Q98" s="2">
        <f t="shared" si="1"/>
        <v>107</v>
      </c>
      <c r="R98" s="2" t="s">
        <v>2523</v>
      </c>
      <c r="S98" s="2">
        <v>37.767650777464652</v>
      </c>
      <c r="T98" s="2" t="s">
        <v>2522</v>
      </c>
      <c r="U98" t="str">
        <f>INDEX(Table2[Doctor_Name],MATCH(Table1_3[[#This Row],[Department]],Table2[Department],0))</f>
        <v>Dr. Vikram Wang</v>
      </c>
    </row>
    <row r="99" spans="1:21" x14ac:dyDescent="0.35">
      <c r="A99" s="2" t="s">
        <v>905</v>
      </c>
      <c r="B99" s="2" t="s">
        <v>906</v>
      </c>
      <c r="C99" s="2">
        <v>93</v>
      </c>
      <c r="D99" s="2" t="s">
        <v>52</v>
      </c>
      <c r="E99" s="2" t="s">
        <v>24</v>
      </c>
      <c r="F99" s="2" t="s">
        <v>273</v>
      </c>
      <c r="G99" s="2" t="s">
        <v>54</v>
      </c>
      <c r="H99" s="2">
        <v>184</v>
      </c>
      <c r="I99" s="2">
        <v>54.4</v>
      </c>
      <c r="J99" s="2" t="s">
        <v>36</v>
      </c>
      <c r="K99" s="2" t="s">
        <v>65</v>
      </c>
      <c r="L99" s="2" t="s">
        <v>143</v>
      </c>
      <c r="M99" s="3">
        <v>44801</v>
      </c>
      <c r="N99" s="4">
        <f>Table1_3[[#This Row],[Admission_Date]]</f>
        <v>44801</v>
      </c>
      <c r="O99" s="5">
        <f>Table1_3[[#This Row],[Admission_Date]]</f>
        <v>44801</v>
      </c>
      <c r="P99" s="2">
        <v>30923.96</v>
      </c>
      <c r="Q99" s="2">
        <f t="shared" si="1"/>
        <v>35</v>
      </c>
      <c r="R99" s="2" t="s">
        <v>2525</v>
      </c>
      <c r="S99" s="2">
        <v>16.068052930056709</v>
      </c>
      <c r="T99" s="2" t="s">
        <v>2524</v>
      </c>
      <c r="U99" t="str">
        <f>INDEX(Table2[Doctor_Name],MATCH(Table1_3[[#This Row],[Department]],Table2[Department],0))</f>
        <v>Dr. Neha Liu</v>
      </c>
    </row>
    <row r="100" spans="1:21" x14ac:dyDescent="0.35">
      <c r="A100" s="2" t="s">
        <v>1395</v>
      </c>
      <c r="B100" s="2" t="s">
        <v>1396</v>
      </c>
      <c r="C100" s="2">
        <v>61</v>
      </c>
      <c r="D100" s="2" t="s">
        <v>29</v>
      </c>
      <c r="E100" s="2" t="s">
        <v>84</v>
      </c>
      <c r="F100" s="2" t="s">
        <v>2518</v>
      </c>
      <c r="G100" s="2" t="s">
        <v>36</v>
      </c>
      <c r="H100" s="2">
        <v>183</v>
      </c>
      <c r="I100" s="2">
        <v>87.5</v>
      </c>
      <c r="J100" s="2" t="s">
        <v>65</v>
      </c>
      <c r="K100" s="2" t="s">
        <v>65</v>
      </c>
      <c r="L100" s="2" t="s">
        <v>69</v>
      </c>
      <c r="M100" s="3">
        <v>44382</v>
      </c>
      <c r="N100" s="4">
        <f>Table1_3[[#This Row],[Admission_Date]]</f>
        <v>44382</v>
      </c>
      <c r="O100" s="5">
        <f>Table1_3[[#This Row],[Admission_Date]]</f>
        <v>44382</v>
      </c>
      <c r="P100" s="2">
        <v>45192.959999999999</v>
      </c>
      <c r="Q100" s="2">
        <f t="shared" si="1"/>
        <v>7</v>
      </c>
      <c r="R100" s="2" t="s">
        <v>2525</v>
      </c>
      <c r="S100" s="2">
        <v>26.12798232255367</v>
      </c>
      <c r="T100" s="2" t="s">
        <v>2526</v>
      </c>
      <c r="U100" t="str">
        <f>INDEX(Table2[Doctor_Name],MATCH(Table1_3[[#This Row],[Department]],Table2[Department],0))</f>
        <v>Dr. Vikram Wang</v>
      </c>
    </row>
    <row r="101" spans="1:21" x14ac:dyDescent="0.35">
      <c r="A101" s="2" t="s">
        <v>1285</v>
      </c>
      <c r="B101" s="2" t="s">
        <v>823</v>
      </c>
      <c r="C101" s="2">
        <v>75</v>
      </c>
      <c r="D101" s="2" t="s">
        <v>138</v>
      </c>
      <c r="E101" s="2" t="s">
        <v>45</v>
      </c>
      <c r="F101" s="2" t="s">
        <v>2517</v>
      </c>
      <c r="G101" s="2" t="s">
        <v>36</v>
      </c>
      <c r="H101" s="2">
        <v>172</v>
      </c>
      <c r="I101" s="2">
        <v>81</v>
      </c>
      <c r="J101" s="2" t="s">
        <v>19</v>
      </c>
      <c r="K101" s="2" t="s">
        <v>65</v>
      </c>
      <c r="L101" s="2" t="s">
        <v>143</v>
      </c>
      <c r="M101" s="3">
        <v>44828</v>
      </c>
      <c r="N101" s="4">
        <f>Table1_3[[#This Row],[Admission_Date]]</f>
        <v>44828</v>
      </c>
      <c r="O101" s="5">
        <f>Table1_3[[#This Row],[Admission_Date]]</f>
        <v>44828</v>
      </c>
      <c r="P101" s="2">
        <v>1577.64</v>
      </c>
      <c r="Q101" s="2">
        <f t="shared" si="1"/>
        <v>35</v>
      </c>
      <c r="R101" s="2" t="s">
        <v>2525</v>
      </c>
      <c r="S101" s="2">
        <v>27.379664683612766</v>
      </c>
      <c r="T101" s="2" t="s">
        <v>2526</v>
      </c>
      <c r="U101" t="str">
        <f>INDEX(Table2[Doctor_Name],MATCH(Table1_3[[#This Row],[Department]],Table2[Department],0))</f>
        <v>Dr. Neha Liu</v>
      </c>
    </row>
    <row r="102" spans="1:21" x14ac:dyDescent="0.35">
      <c r="A102" s="2" t="s">
        <v>1331</v>
      </c>
      <c r="B102" s="2" t="s">
        <v>1332</v>
      </c>
      <c r="C102" s="2">
        <v>70</v>
      </c>
      <c r="D102" s="2" t="s">
        <v>29</v>
      </c>
      <c r="E102" s="2" t="s">
        <v>45</v>
      </c>
      <c r="F102" s="2" t="s">
        <v>36</v>
      </c>
      <c r="G102" s="2" t="s">
        <v>208</v>
      </c>
      <c r="H102" s="2">
        <v>188.9</v>
      </c>
      <c r="I102" s="2">
        <v>128</v>
      </c>
      <c r="J102" s="2" t="s">
        <v>65</v>
      </c>
      <c r="K102" s="2" t="s">
        <v>19</v>
      </c>
      <c r="L102" s="2" t="s">
        <v>31</v>
      </c>
      <c r="M102" s="3">
        <v>44970</v>
      </c>
      <c r="N102" s="4">
        <f>Table1_3[[#This Row],[Admission_Date]]</f>
        <v>44970</v>
      </c>
      <c r="O102" s="5">
        <f>Table1_3[[#This Row],[Admission_Date]]</f>
        <v>44970</v>
      </c>
      <c r="P102" s="2">
        <v>4472.37</v>
      </c>
      <c r="Q102" s="2">
        <f t="shared" si="1"/>
        <v>37</v>
      </c>
      <c r="R102" s="2" t="s">
        <v>2525</v>
      </c>
      <c r="S102" s="2">
        <v>35.871212259210985</v>
      </c>
      <c r="T102" s="2" t="s">
        <v>2522</v>
      </c>
      <c r="U102" t="str">
        <f>INDEX(Table2[Doctor_Name],MATCH(Table1_3[[#This Row],[Department]],Table2[Department],0))</f>
        <v>Dr. Arvind Chen</v>
      </c>
    </row>
    <row r="103" spans="1:21" x14ac:dyDescent="0.35">
      <c r="A103" s="2" t="s">
        <v>764</v>
      </c>
      <c r="B103" s="2" t="s">
        <v>2452</v>
      </c>
      <c r="C103" s="2">
        <v>68</v>
      </c>
      <c r="D103" s="2" t="s">
        <v>29</v>
      </c>
      <c r="E103" s="2" t="s">
        <v>111</v>
      </c>
      <c r="F103" s="2" t="s">
        <v>2517</v>
      </c>
      <c r="G103" s="2" t="s">
        <v>36</v>
      </c>
      <c r="H103" s="2">
        <v>174</v>
      </c>
      <c r="I103" s="2" t="s">
        <v>2519</v>
      </c>
      <c r="J103" s="2" t="s">
        <v>19</v>
      </c>
      <c r="K103" s="2" t="s">
        <v>65</v>
      </c>
      <c r="L103" s="2" t="s">
        <v>143</v>
      </c>
      <c r="M103" s="3">
        <v>45065</v>
      </c>
      <c r="N103" s="4">
        <f>Table1_3[[#This Row],[Admission_Date]]</f>
        <v>45065</v>
      </c>
      <c r="O103" s="5">
        <f>Table1_3[[#This Row],[Admission_Date]]</f>
        <v>45065</v>
      </c>
      <c r="P103" s="2">
        <v>19274.189999999999</v>
      </c>
      <c r="Q103" s="2">
        <f t="shared" si="1"/>
        <v>35</v>
      </c>
      <c r="R103" s="2" t="s">
        <v>2525</v>
      </c>
      <c r="S103" s="2" t="s">
        <v>36</v>
      </c>
      <c r="T103" s="2" t="s">
        <v>36</v>
      </c>
      <c r="U103" t="str">
        <f>INDEX(Table2[Doctor_Name],MATCH(Table1_3[[#This Row],[Department]],Table2[Department],0))</f>
        <v>Dr. Neha Liu</v>
      </c>
    </row>
    <row r="104" spans="1:21" x14ac:dyDescent="0.35">
      <c r="A104" s="2" t="s">
        <v>1497</v>
      </c>
      <c r="B104" s="2" t="s">
        <v>2516</v>
      </c>
      <c r="C104" s="2">
        <v>79</v>
      </c>
      <c r="D104" s="2" t="s">
        <v>29</v>
      </c>
      <c r="E104" s="2" t="s">
        <v>24</v>
      </c>
      <c r="F104" s="2" t="s">
        <v>2517</v>
      </c>
      <c r="G104" s="2" t="s">
        <v>40</v>
      </c>
      <c r="H104" s="2">
        <v>165</v>
      </c>
      <c r="I104" s="2">
        <v>100</v>
      </c>
      <c r="J104" s="2" t="s">
        <v>65</v>
      </c>
      <c r="K104" s="2" t="s">
        <v>36</v>
      </c>
      <c r="L104" s="2" t="s">
        <v>69</v>
      </c>
      <c r="M104" s="3">
        <v>45020</v>
      </c>
      <c r="N104" s="4">
        <f>Table1_3[[#This Row],[Admission_Date]]</f>
        <v>45020</v>
      </c>
      <c r="O104" s="5">
        <f>Table1_3[[#This Row],[Admission_Date]]</f>
        <v>45020</v>
      </c>
      <c r="P104" s="2">
        <v>12099.79</v>
      </c>
      <c r="Q104" s="2">
        <f t="shared" si="1"/>
        <v>107</v>
      </c>
      <c r="R104" s="2" t="s">
        <v>2525</v>
      </c>
      <c r="S104" s="2">
        <v>36.730945821854917</v>
      </c>
      <c r="T104" s="2" t="s">
        <v>2522</v>
      </c>
      <c r="U104" t="str">
        <f>INDEX(Table2[Doctor_Name],MATCH(Table1_3[[#This Row],[Department]],Table2[Department],0))</f>
        <v>Dr. Vikram Wang</v>
      </c>
    </row>
    <row r="105" spans="1:21" x14ac:dyDescent="0.35">
      <c r="A105" s="2" t="s">
        <v>114</v>
      </c>
      <c r="B105" s="2" t="s">
        <v>2408</v>
      </c>
      <c r="C105" s="2">
        <v>74</v>
      </c>
      <c r="D105" s="2" t="s">
        <v>138</v>
      </c>
      <c r="E105" s="2" t="s">
        <v>115</v>
      </c>
      <c r="F105" s="2" t="s">
        <v>17</v>
      </c>
      <c r="G105" s="2" t="s">
        <v>112</v>
      </c>
      <c r="H105" s="2">
        <v>188</v>
      </c>
      <c r="I105" s="2">
        <v>65</v>
      </c>
      <c r="J105" s="2" t="s">
        <v>36</v>
      </c>
      <c r="K105" s="2" t="s">
        <v>36</v>
      </c>
      <c r="L105" s="2" t="s">
        <v>103</v>
      </c>
      <c r="M105" s="3">
        <v>45212</v>
      </c>
      <c r="N105" s="4">
        <f>Table1_3[[#This Row],[Admission_Date]]</f>
        <v>45212</v>
      </c>
      <c r="O105" s="5">
        <f>Table1_3[[#This Row],[Admission_Date]]</f>
        <v>45212</v>
      </c>
      <c r="P105" s="2">
        <v>48628.37</v>
      </c>
      <c r="Q105" s="2">
        <f t="shared" si="1"/>
        <v>1</v>
      </c>
      <c r="R105" s="2" t="s">
        <v>2525</v>
      </c>
      <c r="S105" s="2">
        <v>18.390674513354462</v>
      </c>
      <c r="T105" s="2" t="s">
        <v>2524</v>
      </c>
      <c r="U105" t="str">
        <f>INDEX(Table2[Doctor_Name],MATCH(Table1_3[[#This Row],[Department]],Table2[Department],0))</f>
        <v>Dr. Suresh Johnson</v>
      </c>
    </row>
    <row r="106" spans="1:21" x14ac:dyDescent="0.35">
      <c r="A106" s="2" t="s">
        <v>960</v>
      </c>
      <c r="B106" s="2" t="s">
        <v>865</v>
      </c>
      <c r="C106" s="2">
        <v>24</v>
      </c>
      <c r="D106" s="2" t="s">
        <v>29</v>
      </c>
      <c r="E106" s="2" t="s">
        <v>84</v>
      </c>
      <c r="F106" s="2" t="s">
        <v>36</v>
      </c>
      <c r="G106" s="2" t="s">
        <v>112</v>
      </c>
      <c r="H106" s="2">
        <v>193</v>
      </c>
      <c r="I106" s="2">
        <v>122.3</v>
      </c>
      <c r="J106" s="2" t="s">
        <v>65</v>
      </c>
      <c r="K106" s="2" t="s">
        <v>19</v>
      </c>
      <c r="L106" s="2" t="s">
        <v>175</v>
      </c>
      <c r="M106" s="3">
        <v>44237</v>
      </c>
      <c r="N106" s="4">
        <f>Table1_3[[#This Row],[Admission_Date]]</f>
        <v>44237</v>
      </c>
      <c r="O106" s="5">
        <f>Table1_3[[#This Row],[Admission_Date]]</f>
        <v>44237</v>
      </c>
      <c r="P106" s="2">
        <v>12521.5</v>
      </c>
      <c r="Q106" s="2">
        <f t="shared" si="1"/>
        <v>38</v>
      </c>
      <c r="R106" s="2" t="s">
        <v>2527</v>
      </c>
      <c r="S106" s="2">
        <v>32.833096190501756</v>
      </c>
      <c r="T106" s="2" t="s">
        <v>2522</v>
      </c>
      <c r="U106" t="str">
        <f>INDEX(Table2[Doctor_Name],MATCH(Table1_3[[#This Row],[Department]],Table2[Department],0))</f>
        <v>Dr. Arvind Wilson</v>
      </c>
    </row>
    <row r="107" spans="1:21" x14ac:dyDescent="0.35">
      <c r="A107" s="2" t="s">
        <v>1278</v>
      </c>
      <c r="B107" s="2" t="s">
        <v>1279</v>
      </c>
      <c r="C107" s="2">
        <v>7</v>
      </c>
      <c r="D107" s="2" t="s">
        <v>29</v>
      </c>
      <c r="E107" s="2" t="s">
        <v>45</v>
      </c>
      <c r="F107" s="2" t="s">
        <v>141</v>
      </c>
      <c r="G107" s="2" t="s">
        <v>35</v>
      </c>
      <c r="H107" s="2">
        <v>175.2</v>
      </c>
      <c r="I107" s="2">
        <v>118.3</v>
      </c>
      <c r="J107" s="2" t="s">
        <v>19</v>
      </c>
      <c r="K107" s="2" t="s">
        <v>19</v>
      </c>
      <c r="L107" s="2" t="s">
        <v>226</v>
      </c>
      <c r="M107" s="3">
        <v>44586</v>
      </c>
      <c r="N107" s="4">
        <f>Table1_3[[#This Row],[Admission_Date]]</f>
        <v>44586</v>
      </c>
      <c r="O107" s="5">
        <f>Table1_3[[#This Row],[Admission_Date]]</f>
        <v>44586</v>
      </c>
      <c r="P107" s="2">
        <v>6307.15</v>
      </c>
      <c r="Q107" s="2">
        <f t="shared" si="1"/>
        <v>35</v>
      </c>
      <c r="R107" s="2" t="s">
        <v>2521</v>
      </c>
      <c r="S107" s="2">
        <v>38.540428681637174</v>
      </c>
      <c r="T107" s="2" t="s">
        <v>2522</v>
      </c>
      <c r="U107" t="str">
        <f>INDEX(Table2[Doctor_Name],MATCH(Table1_3[[#This Row],[Department]],Table2[Department],0))</f>
        <v>Dr. Vikram Khan</v>
      </c>
    </row>
    <row r="108" spans="1:21" x14ac:dyDescent="0.35">
      <c r="A108" s="2" t="s">
        <v>690</v>
      </c>
      <c r="B108" s="2" t="s">
        <v>691</v>
      </c>
      <c r="C108" s="2">
        <v>42</v>
      </c>
      <c r="D108" s="2" t="s">
        <v>29</v>
      </c>
      <c r="E108" s="2" t="s">
        <v>59</v>
      </c>
      <c r="F108" s="2" t="s">
        <v>2518</v>
      </c>
      <c r="G108" s="2" t="s">
        <v>60</v>
      </c>
      <c r="H108" s="2">
        <v>169</v>
      </c>
      <c r="I108" s="2">
        <v>119.5</v>
      </c>
      <c r="J108" s="2" t="s">
        <v>65</v>
      </c>
      <c r="K108" s="2" t="s">
        <v>36</v>
      </c>
      <c r="L108" s="2" t="s">
        <v>31</v>
      </c>
      <c r="M108" s="3">
        <v>44852</v>
      </c>
      <c r="N108" s="4">
        <f>Table1_3[[#This Row],[Admission_Date]]</f>
        <v>44852</v>
      </c>
      <c r="O108" s="5">
        <f>Table1_3[[#This Row],[Admission_Date]]</f>
        <v>44852</v>
      </c>
      <c r="P108" s="2">
        <v>18849.89</v>
      </c>
      <c r="Q108" s="2">
        <f t="shared" si="1"/>
        <v>37</v>
      </c>
      <c r="R108" s="2" t="s">
        <v>2523</v>
      </c>
      <c r="S108" s="2">
        <v>41.840271699170202</v>
      </c>
      <c r="T108" s="2" t="s">
        <v>2522</v>
      </c>
      <c r="U108" t="str">
        <f>INDEX(Table2[Doctor_Name],MATCH(Table1_3[[#This Row],[Department]],Table2[Department],0))</f>
        <v>Dr. Arvind Chen</v>
      </c>
    </row>
    <row r="109" spans="1:21" x14ac:dyDescent="0.35">
      <c r="A109" s="2" t="s">
        <v>900</v>
      </c>
      <c r="B109" s="2" t="s">
        <v>901</v>
      </c>
      <c r="C109" s="2">
        <v>75</v>
      </c>
      <c r="D109" s="2" t="s">
        <v>138</v>
      </c>
      <c r="E109" s="2" t="s">
        <v>217</v>
      </c>
      <c r="F109" s="2" t="s">
        <v>79</v>
      </c>
      <c r="G109" s="2" t="s">
        <v>208</v>
      </c>
      <c r="H109" s="2" t="s">
        <v>2519</v>
      </c>
      <c r="I109" s="2">
        <v>98.9</v>
      </c>
      <c r="J109" s="2" t="s">
        <v>19</v>
      </c>
      <c r="K109" s="2" t="s">
        <v>65</v>
      </c>
      <c r="L109" s="2" t="s">
        <v>55</v>
      </c>
      <c r="M109" s="3">
        <v>44967</v>
      </c>
      <c r="N109" s="4">
        <f>Table1_3[[#This Row],[Admission_Date]]</f>
        <v>44967</v>
      </c>
      <c r="O109" s="5">
        <f>Table1_3[[#This Row],[Admission_Date]]</f>
        <v>44967</v>
      </c>
      <c r="P109" s="2">
        <v>8827.57</v>
      </c>
      <c r="Q109" s="2">
        <f t="shared" si="1"/>
        <v>42</v>
      </c>
      <c r="R109" s="2" t="s">
        <v>2525</v>
      </c>
      <c r="S109" s="2" t="s">
        <v>36</v>
      </c>
      <c r="T109" s="2" t="s">
        <v>36</v>
      </c>
      <c r="U109" t="str">
        <f>INDEX(Table2[Doctor_Name],MATCH(Table1_3[[#This Row],[Department]],Table2[Department],0))</f>
        <v>Dr. Sunita Sanchez</v>
      </c>
    </row>
    <row r="110" spans="1:21" x14ac:dyDescent="0.35">
      <c r="A110" s="2" t="s">
        <v>422</v>
      </c>
      <c r="B110" s="2" t="s">
        <v>423</v>
      </c>
      <c r="C110" s="2">
        <v>83</v>
      </c>
      <c r="D110" s="2" t="s">
        <v>29</v>
      </c>
      <c r="E110" s="2" t="s">
        <v>78</v>
      </c>
      <c r="F110" s="2" t="s">
        <v>141</v>
      </c>
      <c r="G110" s="2" t="s">
        <v>36</v>
      </c>
      <c r="H110" s="2">
        <v>184</v>
      </c>
      <c r="I110" s="2">
        <v>77</v>
      </c>
      <c r="J110" s="2" t="s">
        <v>65</v>
      </c>
      <c r="K110" s="2" t="s">
        <v>36</v>
      </c>
      <c r="L110" s="2" t="s">
        <v>69</v>
      </c>
      <c r="M110" s="3">
        <v>44215</v>
      </c>
      <c r="N110" s="4">
        <f>Table1_3[[#This Row],[Admission_Date]]</f>
        <v>44215</v>
      </c>
      <c r="O110" s="5">
        <f>Table1_3[[#This Row],[Admission_Date]]</f>
        <v>44215</v>
      </c>
      <c r="P110" s="2">
        <v>25533.78</v>
      </c>
      <c r="Q110" s="2">
        <f t="shared" si="1"/>
        <v>107</v>
      </c>
      <c r="R110" s="2" t="s">
        <v>2525</v>
      </c>
      <c r="S110" s="2">
        <v>22.743383742911153</v>
      </c>
      <c r="T110" s="2" t="s">
        <v>1567</v>
      </c>
      <c r="U110" t="str">
        <f>INDEX(Table2[Doctor_Name],MATCH(Table1_3[[#This Row],[Department]],Table2[Department],0))</f>
        <v>Dr. Vikram Wang</v>
      </c>
    </row>
    <row r="111" spans="1:21" x14ac:dyDescent="0.35">
      <c r="A111" s="2" t="s">
        <v>1182</v>
      </c>
      <c r="B111" s="2" t="s">
        <v>1183</v>
      </c>
      <c r="C111" s="2" t="s">
        <v>2519</v>
      </c>
      <c r="D111" s="2" t="s">
        <v>52</v>
      </c>
      <c r="E111" s="2" t="s">
        <v>84</v>
      </c>
      <c r="F111" s="2" t="s">
        <v>36</v>
      </c>
      <c r="G111" s="2" t="s">
        <v>35</v>
      </c>
      <c r="H111" s="2">
        <v>151</v>
      </c>
      <c r="I111" s="2">
        <v>88.2</v>
      </c>
      <c r="J111" s="2" t="s">
        <v>19</v>
      </c>
      <c r="K111" s="2" t="s">
        <v>19</v>
      </c>
      <c r="L111" s="2" t="s">
        <v>199</v>
      </c>
      <c r="M111" s="3">
        <v>45078</v>
      </c>
      <c r="N111" s="4">
        <f>Table1_3[[#This Row],[Admission_Date]]</f>
        <v>45078</v>
      </c>
      <c r="O111" s="5">
        <f>Table1_3[[#This Row],[Admission_Date]]</f>
        <v>45078</v>
      </c>
      <c r="P111" s="2">
        <v>5797.31</v>
      </c>
      <c r="Q111" s="2">
        <f t="shared" si="1"/>
        <v>34</v>
      </c>
      <c r="R111" s="2" t="s">
        <v>36</v>
      </c>
      <c r="S111" s="2">
        <v>38.682513924827859</v>
      </c>
      <c r="T111" s="2" t="s">
        <v>2522</v>
      </c>
      <c r="U111" t="str">
        <f>INDEX(Table2[Doctor_Name],MATCH(Table1_3[[#This Row],[Department]],Table2[Department],0))</f>
        <v>Dr. Vikram Torres</v>
      </c>
    </row>
    <row r="112" spans="1:21" x14ac:dyDescent="0.35">
      <c r="A112" s="2" t="s">
        <v>873</v>
      </c>
      <c r="B112" s="2" t="s">
        <v>874</v>
      </c>
      <c r="C112" s="2">
        <v>51</v>
      </c>
      <c r="D112" s="2" t="s">
        <v>138</v>
      </c>
      <c r="E112" s="2" t="s">
        <v>146</v>
      </c>
      <c r="F112" s="2" t="s">
        <v>2518</v>
      </c>
      <c r="G112" s="2" t="s">
        <v>60</v>
      </c>
      <c r="H112" s="2">
        <v>160</v>
      </c>
      <c r="I112" s="2">
        <v>115</v>
      </c>
      <c r="J112" s="2" t="s">
        <v>36</v>
      </c>
      <c r="K112" s="2" t="s">
        <v>36</v>
      </c>
      <c r="L112" s="2" t="s">
        <v>42</v>
      </c>
      <c r="M112" s="3">
        <v>44350</v>
      </c>
      <c r="N112" s="4">
        <f>Table1_3[[#This Row],[Admission_Date]]</f>
        <v>44350</v>
      </c>
      <c r="O112" s="5">
        <f>Table1_3[[#This Row],[Admission_Date]]</f>
        <v>44350</v>
      </c>
      <c r="P112" s="2">
        <v>20561.28</v>
      </c>
      <c r="Q112" s="2">
        <f t="shared" si="1"/>
        <v>45</v>
      </c>
      <c r="R112" s="2" t="s">
        <v>2523</v>
      </c>
      <c r="S112" s="2">
        <v>44.921874999999993</v>
      </c>
      <c r="T112" s="2" t="s">
        <v>2522</v>
      </c>
      <c r="U112" t="str">
        <f>INDEX(Table2[Doctor_Name],MATCH(Table1_3[[#This Row],[Department]],Table2[Department],0))</f>
        <v>Dr. Rahul Nair</v>
      </c>
    </row>
    <row r="113" spans="1:21" x14ac:dyDescent="0.35">
      <c r="A113" s="2" t="s">
        <v>862</v>
      </c>
      <c r="B113" s="2" t="s">
        <v>2463</v>
      </c>
      <c r="C113" s="2">
        <v>83</v>
      </c>
      <c r="D113" s="2" t="s">
        <v>29</v>
      </c>
      <c r="E113" s="2" t="s">
        <v>24</v>
      </c>
      <c r="F113" s="2" t="s">
        <v>134</v>
      </c>
      <c r="G113" s="2" t="s">
        <v>160</v>
      </c>
      <c r="H113" s="2">
        <v>152</v>
      </c>
      <c r="I113" s="2">
        <v>123.2</v>
      </c>
      <c r="J113" s="2" t="s">
        <v>19</v>
      </c>
      <c r="K113" s="2" t="s">
        <v>65</v>
      </c>
      <c r="L113" s="2" t="s">
        <v>143</v>
      </c>
      <c r="M113" s="3">
        <v>44264</v>
      </c>
      <c r="N113" s="4">
        <f>Table1_3[[#This Row],[Admission_Date]]</f>
        <v>44264</v>
      </c>
      <c r="O113" s="5">
        <f>Table1_3[[#This Row],[Admission_Date]]</f>
        <v>44264</v>
      </c>
      <c r="P113" s="2">
        <v>46473.93</v>
      </c>
      <c r="Q113" s="2">
        <f t="shared" si="1"/>
        <v>1</v>
      </c>
      <c r="R113" s="2" t="s">
        <v>2525</v>
      </c>
      <c r="S113" s="2">
        <v>53.32409972299169</v>
      </c>
      <c r="T113" s="2" t="s">
        <v>2522</v>
      </c>
      <c r="U113" t="str">
        <f>INDEX(Table2[Doctor_Name],MATCH(Table1_3[[#This Row],[Department]],Table2[Department],0))</f>
        <v>Dr. Neha Liu</v>
      </c>
    </row>
    <row r="114" spans="1:21" x14ac:dyDescent="0.35">
      <c r="A114" s="2" t="s">
        <v>360</v>
      </c>
      <c r="B114" s="2" t="s">
        <v>361</v>
      </c>
      <c r="C114" s="2">
        <v>73</v>
      </c>
      <c r="D114" s="2" t="s">
        <v>138</v>
      </c>
      <c r="E114" s="2" t="s">
        <v>115</v>
      </c>
      <c r="F114" s="2" t="s">
        <v>2518</v>
      </c>
      <c r="G114" s="2" t="s">
        <v>191</v>
      </c>
      <c r="H114" s="2">
        <v>149.4</v>
      </c>
      <c r="I114" s="2">
        <v>102</v>
      </c>
      <c r="J114" s="2" t="s">
        <v>19</v>
      </c>
      <c r="K114" s="2" t="s">
        <v>36</v>
      </c>
      <c r="L114" s="2" t="s">
        <v>107</v>
      </c>
      <c r="M114" s="3">
        <v>44306</v>
      </c>
      <c r="N114" s="4">
        <f>Table1_3[[#This Row],[Admission_Date]]</f>
        <v>44306</v>
      </c>
      <c r="O114" s="5">
        <f>Table1_3[[#This Row],[Admission_Date]]</f>
        <v>44306</v>
      </c>
      <c r="P114" s="2">
        <v>22135.87</v>
      </c>
      <c r="Q114" s="2">
        <f t="shared" si="1"/>
        <v>83</v>
      </c>
      <c r="R114" s="2" t="s">
        <v>2525</v>
      </c>
      <c r="S114" s="2">
        <v>45.698187663639835</v>
      </c>
      <c r="T114" s="2" t="s">
        <v>2522</v>
      </c>
      <c r="U114" t="str">
        <f>INDEX(Table2[Doctor_Name],MATCH(Table1_3[[#This Row],[Department]],Table2[Department],0))</f>
        <v>Dr. Anita Sanchez</v>
      </c>
    </row>
    <row r="115" spans="1:21" x14ac:dyDescent="0.35">
      <c r="A115" s="2" t="s">
        <v>438</v>
      </c>
      <c r="B115" s="2" t="s">
        <v>439</v>
      </c>
      <c r="C115" s="2">
        <v>82</v>
      </c>
      <c r="D115" s="2" t="s">
        <v>29</v>
      </c>
      <c r="E115" s="2" t="s">
        <v>230</v>
      </c>
      <c r="F115" s="2" t="s">
        <v>36</v>
      </c>
      <c r="G115" s="2" t="s">
        <v>112</v>
      </c>
      <c r="H115" s="2">
        <v>148</v>
      </c>
      <c r="I115" s="2">
        <v>92.7</v>
      </c>
      <c r="J115" s="2" t="s">
        <v>65</v>
      </c>
      <c r="K115" s="2" t="s">
        <v>65</v>
      </c>
      <c r="L115" s="2" t="s">
        <v>107</v>
      </c>
      <c r="M115" s="3">
        <v>44701</v>
      </c>
      <c r="N115" s="4">
        <f>Table1_3[[#This Row],[Admission_Date]]</f>
        <v>44701</v>
      </c>
      <c r="O115" s="5">
        <f>Table1_3[[#This Row],[Admission_Date]]</f>
        <v>44701</v>
      </c>
      <c r="P115" s="2">
        <v>4138.58</v>
      </c>
      <c r="Q115" s="2">
        <f t="shared" si="1"/>
        <v>83</v>
      </c>
      <c r="R115" s="2" t="s">
        <v>2525</v>
      </c>
      <c r="S115" s="2">
        <v>42.32103725346969</v>
      </c>
      <c r="T115" s="2" t="s">
        <v>2522</v>
      </c>
      <c r="U115" t="str">
        <f>INDEX(Table2[Doctor_Name],MATCH(Table1_3[[#This Row],[Department]],Table2[Department],0))</f>
        <v>Dr. Anita Sanchez</v>
      </c>
    </row>
    <row r="116" spans="1:21" x14ac:dyDescent="0.35">
      <c r="A116" s="2" t="s">
        <v>1371</v>
      </c>
      <c r="B116" s="2" t="s">
        <v>1372</v>
      </c>
      <c r="C116" s="2">
        <v>1</v>
      </c>
      <c r="D116" s="2" t="s">
        <v>29</v>
      </c>
      <c r="E116" s="2" t="s">
        <v>230</v>
      </c>
      <c r="F116" s="2" t="s">
        <v>17</v>
      </c>
      <c r="G116" s="2" t="s">
        <v>36</v>
      </c>
      <c r="H116" s="2">
        <v>194.2</v>
      </c>
      <c r="I116" s="2">
        <v>90.1</v>
      </c>
      <c r="J116" s="2" t="s">
        <v>65</v>
      </c>
      <c r="K116" s="2" t="s">
        <v>19</v>
      </c>
      <c r="L116" s="2" t="s">
        <v>69</v>
      </c>
      <c r="M116" s="3">
        <v>44921</v>
      </c>
      <c r="N116" s="4">
        <f>Table1_3[[#This Row],[Admission_Date]]</f>
        <v>44921</v>
      </c>
      <c r="O116" s="5">
        <f>Table1_3[[#This Row],[Admission_Date]]</f>
        <v>44921</v>
      </c>
      <c r="P116" s="2">
        <v>5106.68</v>
      </c>
      <c r="Q116" s="2">
        <f t="shared" si="1"/>
        <v>107</v>
      </c>
      <c r="R116" s="2" t="s">
        <v>2521</v>
      </c>
      <c r="S116" s="2">
        <v>23.890560550506397</v>
      </c>
      <c r="T116" s="2" t="s">
        <v>1567</v>
      </c>
      <c r="U116" t="str">
        <f>INDEX(Table2[Doctor_Name],MATCH(Table1_3[[#This Row],[Department]],Table2[Department],0))</f>
        <v>Dr. Vikram Wang</v>
      </c>
    </row>
    <row r="117" spans="1:21" x14ac:dyDescent="0.35">
      <c r="A117" s="2" t="s">
        <v>189</v>
      </c>
      <c r="B117" s="2" t="s">
        <v>190</v>
      </c>
      <c r="C117" s="2">
        <v>72</v>
      </c>
      <c r="D117" s="2" t="s">
        <v>138</v>
      </c>
      <c r="E117" s="2" t="s">
        <v>115</v>
      </c>
      <c r="F117" s="2" t="s">
        <v>120</v>
      </c>
      <c r="G117" s="2" t="s">
        <v>191</v>
      </c>
      <c r="H117" s="2">
        <v>155</v>
      </c>
      <c r="I117" s="2">
        <v>53</v>
      </c>
      <c r="J117" s="2" t="s">
        <v>65</v>
      </c>
      <c r="K117" s="2" t="s">
        <v>19</v>
      </c>
      <c r="L117" s="2" t="s">
        <v>103</v>
      </c>
      <c r="M117" s="3">
        <v>44721</v>
      </c>
      <c r="N117" s="4">
        <f>Table1_3[[#This Row],[Admission_Date]]</f>
        <v>44721</v>
      </c>
      <c r="O117" s="5">
        <f>Table1_3[[#This Row],[Admission_Date]]</f>
        <v>44721</v>
      </c>
      <c r="P117" s="2">
        <v>39242</v>
      </c>
      <c r="Q117" s="2">
        <f t="shared" si="1"/>
        <v>31</v>
      </c>
      <c r="R117" s="2" t="s">
        <v>2525</v>
      </c>
      <c r="S117" s="2">
        <v>22.060353798126947</v>
      </c>
      <c r="T117" s="2" t="s">
        <v>1567</v>
      </c>
      <c r="U117" t="str">
        <f>INDEX(Table2[Doctor_Name],MATCH(Table1_3[[#This Row],[Department]],Table2[Department],0))</f>
        <v>Dr. Suresh Johnson</v>
      </c>
    </row>
    <row r="118" spans="1:21" x14ac:dyDescent="0.35">
      <c r="A118" s="2" t="s">
        <v>687</v>
      </c>
      <c r="B118" s="2" t="s">
        <v>688</v>
      </c>
      <c r="C118" s="2">
        <v>18</v>
      </c>
      <c r="D118" s="2" t="s">
        <v>29</v>
      </c>
      <c r="E118" s="2" t="s">
        <v>24</v>
      </c>
      <c r="F118" s="2" t="s">
        <v>2518</v>
      </c>
      <c r="G118" s="2" t="s">
        <v>102</v>
      </c>
      <c r="H118" s="2">
        <v>156.5</v>
      </c>
      <c r="I118" s="2">
        <v>79</v>
      </c>
      <c r="J118" s="2" t="s">
        <v>19</v>
      </c>
      <c r="K118" s="2" t="s">
        <v>65</v>
      </c>
      <c r="L118" s="2" t="s">
        <v>2537</v>
      </c>
      <c r="M118" s="3">
        <v>44608</v>
      </c>
      <c r="N118" s="4">
        <f>Table1_3[[#This Row],[Admission_Date]]</f>
        <v>44608</v>
      </c>
      <c r="O118" s="5">
        <f>Table1_3[[#This Row],[Admission_Date]]</f>
        <v>44608</v>
      </c>
      <c r="P118" s="2">
        <v>16052.07</v>
      </c>
      <c r="Q118" s="2">
        <f t="shared" si="1"/>
        <v>30</v>
      </c>
      <c r="R118" s="2" t="s">
        <v>2521</v>
      </c>
      <c r="S118" s="2">
        <v>32.255101103410269</v>
      </c>
      <c r="T118" s="2" t="s">
        <v>2522</v>
      </c>
      <c r="U118" t="str">
        <f>INDEX(Table2[Doctor_Name],MATCH(Table1_3[[#This Row],[Department]],Table2[Department],0))</f>
        <v>Dr. Sunita Zhang</v>
      </c>
    </row>
    <row r="119" spans="1:21" x14ac:dyDescent="0.35">
      <c r="A119" s="2" t="s">
        <v>484</v>
      </c>
      <c r="B119" s="2" t="s">
        <v>485</v>
      </c>
      <c r="C119" s="2">
        <v>42</v>
      </c>
      <c r="D119" s="2" t="s">
        <v>29</v>
      </c>
      <c r="E119" s="2" t="s">
        <v>53</v>
      </c>
      <c r="F119" s="2" t="s">
        <v>2518</v>
      </c>
      <c r="G119" s="2" t="s">
        <v>102</v>
      </c>
      <c r="H119" s="2">
        <v>167.7</v>
      </c>
      <c r="I119" s="2">
        <v>89.5</v>
      </c>
      <c r="J119" s="2" t="s">
        <v>36</v>
      </c>
      <c r="K119" s="2" t="s">
        <v>65</v>
      </c>
      <c r="L119" s="2" t="s">
        <v>31</v>
      </c>
      <c r="M119" s="3">
        <v>44793</v>
      </c>
      <c r="N119" s="4">
        <f>Table1_3[[#This Row],[Admission_Date]]</f>
        <v>44793</v>
      </c>
      <c r="O119" s="5">
        <f>Table1_3[[#This Row],[Admission_Date]]</f>
        <v>44793</v>
      </c>
      <c r="P119" s="2">
        <v>3923.35</v>
      </c>
      <c r="Q119" s="2">
        <f t="shared" si="1"/>
        <v>37</v>
      </c>
      <c r="R119" s="2" t="s">
        <v>2523</v>
      </c>
      <c r="S119" s="2">
        <v>31.824157130975795</v>
      </c>
      <c r="T119" s="2" t="s">
        <v>2522</v>
      </c>
      <c r="U119" t="str">
        <f>INDEX(Table2[Doctor_Name],MATCH(Table1_3[[#This Row],[Department]],Table2[Department],0))</f>
        <v>Dr. Arvind Chen</v>
      </c>
    </row>
    <row r="120" spans="1:21" x14ac:dyDescent="0.35">
      <c r="A120" s="2" t="s">
        <v>1290</v>
      </c>
      <c r="B120" s="2" t="s">
        <v>2495</v>
      </c>
      <c r="C120" s="2">
        <v>92</v>
      </c>
      <c r="D120" s="2" t="s">
        <v>29</v>
      </c>
      <c r="E120" s="2" t="s">
        <v>45</v>
      </c>
      <c r="F120" s="2" t="s">
        <v>79</v>
      </c>
      <c r="G120" s="2" t="s">
        <v>60</v>
      </c>
      <c r="H120" s="2">
        <v>156.80000000000001</v>
      </c>
      <c r="I120" s="2">
        <v>123.1</v>
      </c>
      <c r="J120" s="2" t="s">
        <v>19</v>
      </c>
      <c r="K120" s="2" t="s">
        <v>19</v>
      </c>
      <c r="L120" s="2" t="s">
        <v>42</v>
      </c>
      <c r="M120" s="3">
        <v>44933</v>
      </c>
      <c r="N120" s="4">
        <f>Table1_3[[#This Row],[Admission_Date]]</f>
        <v>44933</v>
      </c>
      <c r="O120" s="5">
        <f>Table1_3[[#This Row],[Admission_Date]]</f>
        <v>44933</v>
      </c>
      <c r="P120" s="2">
        <v>44827.33</v>
      </c>
      <c r="Q120" s="2">
        <f t="shared" si="1"/>
        <v>19</v>
      </c>
      <c r="R120" s="2" t="s">
        <v>2525</v>
      </c>
      <c r="S120" s="2">
        <v>50.068656289046224</v>
      </c>
      <c r="T120" s="2" t="s">
        <v>2522</v>
      </c>
      <c r="U120" t="str">
        <f>INDEX(Table2[Doctor_Name],MATCH(Table1_3[[#This Row],[Department]],Table2[Department],0))</f>
        <v>Dr. Rahul Nair</v>
      </c>
    </row>
    <row r="121" spans="1:21" x14ac:dyDescent="0.35">
      <c r="A121" s="2" t="s">
        <v>659</v>
      </c>
      <c r="B121" s="2" t="s">
        <v>660</v>
      </c>
      <c r="C121" s="2">
        <v>83</v>
      </c>
      <c r="D121" s="2" t="s">
        <v>52</v>
      </c>
      <c r="E121" s="2" t="s">
        <v>146</v>
      </c>
      <c r="F121" s="2" t="s">
        <v>2518</v>
      </c>
      <c r="G121" s="2" t="s">
        <v>36</v>
      </c>
      <c r="H121" s="2">
        <v>169.5</v>
      </c>
      <c r="I121" s="2" t="s">
        <v>2519</v>
      </c>
      <c r="J121" s="2" t="s">
        <v>19</v>
      </c>
      <c r="K121" s="2" t="s">
        <v>65</v>
      </c>
      <c r="L121" s="2" t="s">
        <v>175</v>
      </c>
      <c r="M121" s="3">
        <v>45259</v>
      </c>
      <c r="N121" s="4">
        <f>Table1_3[[#This Row],[Admission_Date]]</f>
        <v>45259</v>
      </c>
      <c r="O121" s="5">
        <f>Table1_3[[#This Row],[Admission_Date]]</f>
        <v>45259</v>
      </c>
      <c r="P121" s="2">
        <v>29235.66</v>
      </c>
      <c r="Q121" s="2">
        <f t="shared" si="1"/>
        <v>38</v>
      </c>
      <c r="R121" s="2" t="s">
        <v>2525</v>
      </c>
      <c r="S121" s="2" t="s">
        <v>36</v>
      </c>
      <c r="T121" s="2" t="s">
        <v>36</v>
      </c>
      <c r="U121" t="str">
        <f>INDEX(Table2[Doctor_Name],MATCH(Table1_3[[#This Row],[Department]],Table2[Department],0))</f>
        <v>Dr. Arvind Wilson</v>
      </c>
    </row>
    <row r="122" spans="1:21" x14ac:dyDescent="0.35">
      <c r="A122" s="2" t="s">
        <v>790</v>
      </c>
      <c r="B122" s="2" t="s">
        <v>791</v>
      </c>
      <c r="C122" s="2">
        <v>4</v>
      </c>
      <c r="D122" s="2" t="s">
        <v>138</v>
      </c>
      <c r="E122" s="2" t="s">
        <v>45</v>
      </c>
      <c r="F122" s="2" t="s">
        <v>79</v>
      </c>
      <c r="G122" s="2" t="s">
        <v>60</v>
      </c>
      <c r="H122" s="2">
        <v>174</v>
      </c>
      <c r="I122" s="2">
        <v>71</v>
      </c>
      <c r="J122" s="2" t="s">
        <v>19</v>
      </c>
      <c r="K122" s="2" t="s">
        <v>65</v>
      </c>
      <c r="L122" s="2" t="s">
        <v>107</v>
      </c>
      <c r="M122" s="3">
        <v>44994</v>
      </c>
      <c r="N122" s="4">
        <f>Table1_3[[#This Row],[Admission_Date]]</f>
        <v>44994</v>
      </c>
      <c r="O122" s="5">
        <f>Table1_3[[#This Row],[Admission_Date]]</f>
        <v>44994</v>
      </c>
      <c r="P122" s="2">
        <v>22189.21</v>
      </c>
      <c r="Q122" s="2">
        <f t="shared" si="1"/>
        <v>83</v>
      </c>
      <c r="R122" s="2" t="s">
        <v>2521</v>
      </c>
      <c r="S122" s="2">
        <v>23.450918219051392</v>
      </c>
      <c r="T122" s="2" t="s">
        <v>1567</v>
      </c>
      <c r="U122" t="str">
        <f>INDEX(Table2[Doctor_Name],MATCH(Table1_3[[#This Row],[Department]],Table2[Department],0))</f>
        <v>Dr. Anita Sanchez</v>
      </c>
    </row>
    <row r="123" spans="1:21" x14ac:dyDescent="0.35">
      <c r="A123" s="2" t="s">
        <v>543</v>
      </c>
      <c r="B123" s="2" t="s">
        <v>2437</v>
      </c>
      <c r="C123" s="2">
        <v>14</v>
      </c>
      <c r="D123" s="2" t="s">
        <v>29</v>
      </c>
      <c r="E123" s="2" t="s">
        <v>73</v>
      </c>
      <c r="F123" s="2" t="s">
        <v>2517</v>
      </c>
      <c r="G123" s="2" t="s">
        <v>160</v>
      </c>
      <c r="H123" s="2">
        <v>171</v>
      </c>
      <c r="I123" s="2">
        <v>60.9</v>
      </c>
      <c r="J123" s="2" t="s">
        <v>36</v>
      </c>
      <c r="K123" s="2" t="s">
        <v>19</v>
      </c>
      <c r="L123" s="2" t="s">
        <v>69</v>
      </c>
      <c r="M123" s="3">
        <v>45052</v>
      </c>
      <c r="N123" s="4">
        <f>Table1_3[[#This Row],[Admission_Date]]</f>
        <v>45052</v>
      </c>
      <c r="O123" s="5">
        <f>Table1_3[[#This Row],[Admission_Date]]</f>
        <v>45052</v>
      </c>
      <c r="P123" s="2">
        <v>1945.02</v>
      </c>
      <c r="Q123" s="2">
        <f t="shared" si="1"/>
        <v>107</v>
      </c>
      <c r="R123" s="2" t="s">
        <v>2521</v>
      </c>
      <c r="S123" s="2">
        <v>20.826921103929415</v>
      </c>
      <c r="T123" s="2" t="s">
        <v>1567</v>
      </c>
      <c r="U123" t="str">
        <f>INDEX(Table2[Doctor_Name],MATCH(Table1_3[[#This Row],[Department]],Table2[Department],0))</f>
        <v>Dr. Vikram Wang</v>
      </c>
    </row>
    <row r="124" spans="1:21" x14ac:dyDescent="0.35">
      <c r="A124" s="2" t="s">
        <v>998</v>
      </c>
      <c r="B124" s="2" t="s">
        <v>999</v>
      </c>
      <c r="C124" s="2">
        <v>91</v>
      </c>
      <c r="D124" s="2" t="s">
        <v>29</v>
      </c>
      <c r="E124" s="2" t="s">
        <v>45</v>
      </c>
      <c r="F124" s="2" t="s">
        <v>134</v>
      </c>
      <c r="G124" s="2" t="s">
        <v>36</v>
      </c>
      <c r="H124" s="2">
        <v>194.6</v>
      </c>
      <c r="I124" s="2">
        <v>50.3</v>
      </c>
      <c r="J124" s="2" t="s">
        <v>19</v>
      </c>
      <c r="K124" s="2" t="s">
        <v>36</v>
      </c>
      <c r="L124" s="2" t="s">
        <v>107</v>
      </c>
      <c r="M124" s="3">
        <v>45110</v>
      </c>
      <c r="N124" s="4">
        <f>Table1_3[[#This Row],[Admission_Date]]</f>
        <v>45110</v>
      </c>
      <c r="O124" s="5">
        <f>Table1_3[[#This Row],[Admission_Date]]</f>
        <v>45110</v>
      </c>
      <c r="P124" s="2">
        <v>19930.93</v>
      </c>
      <c r="Q124" s="2">
        <f t="shared" si="1"/>
        <v>83</v>
      </c>
      <c r="R124" s="2" t="s">
        <v>2525</v>
      </c>
      <c r="S124" s="2">
        <v>13.282576112065861</v>
      </c>
      <c r="T124" s="2" t="s">
        <v>2524</v>
      </c>
      <c r="U124" t="str">
        <f>INDEX(Table2[Doctor_Name],MATCH(Table1_3[[#This Row],[Department]],Table2[Department],0))</f>
        <v>Dr. Anita Sanchez</v>
      </c>
    </row>
    <row r="125" spans="1:21" x14ac:dyDescent="0.35">
      <c r="A125" s="2" t="s">
        <v>915</v>
      </c>
      <c r="B125" s="2" t="s">
        <v>916</v>
      </c>
      <c r="C125" s="2">
        <v>35</v>
      </c>
      <c r="D125" s="2" t="s">
        <v>52</v>
      </c>
      <c r="E125" s="2" t="s">
        <v>24</v>
      </c>
      <c r="F125" s="2" t="s">
        <v>17</v>
      </c>
      <c r="G125" s="2" t="s">
        <v>74</v>
      </c>
      <c r="H125" s="2">
        <v>160</v>
      </c>
      <c r="I125" s="2">
        <v>125.7</v>
      </c>
      <c r="J125" s="2" t="s">
        <v>19</v>
      </c>
      <c r="K125" s="2" t="s">
        <v>65</v>
      </c>
      <c r="L125" s="2" t="s">
        <v>107</v>
      </c>
      <c r="M125" s="3">
        <v>45163</v>
      </c>
      <c r="N125" s="4">
        <f>Table1_3[[#This Row],[Admission_Date]]</f>
        <v>45163</v>
      </c>
      <c r="O125" s="5">
        <f>Table1_3[[#This Row],[Admission_Date]]</f>
        <v>45163</v>
      </c>
      <c r="P125" s="2">
        <v>10925.55</v>
      </c>
      <c r="Q125" s="2">
        <f t="shared" si="1"/>
        <v>83</v>
      </c>
      <c r="R125" s="2" t="s">
        <v>2523</v>
      </c>
      <c r="S125" s="2">
        <v>49.101562499999993</v>
      </c>
      <c r="T125" s="2" t="s">
        <v>2522</v>
      </c>
      <c r="U125" t="str">
        <f>INDEX(Table2[Doctor_Name],MATCH(Table1_3[[#This Row],[Department]],Table2[Department],0))</f>
        <v>Dr. Anita Sanchez</v>
      </c>
    </row>
    <row r="126" spans="1:21" x14ac:dyDescent="0.35">
      <c r="A126" s="2" t="s">
        <v>915</v>
      </c>
      <c r="B126" s="2" t="s">
        <v>1426</v>
      </c>
      <c r="C126" s="2">
        <v>87</v>
      </c>
      <c r="D126" s="2" t="s">
        <v>29</v>
      </c>
      <c r="E126" s="2" t="s">
        <v>24</v>
      </c>
      <c r="F126" s="2" t="s">
        <v>134</v>
      </c>
      <c r="G126" s="2" t="s">
        <v>112</v>
      </c>
      <c r="H126" s="2">
        <v>180</v>
      </c>
      <c r="I126" s="2">
        <v>78</v>
      </c>
      <c r="J126" s="2" t="s">
        <v>36</v>
      </c>
      <c r="K126" s="2" t="s">
        <v>19</v>
      </c>
      <c r="L126" s="2" t="s">
        <v>103</v>
      </c>
      <c r="M126" s="3">
        <v>44577</v>
      </c>
      <c r="N126" s="4">
        <f>Table1_3[[#This Row],[Admission_Date]]</f>
        <v>44577</v>
      </c>
      <c r="O126" s="5">
        <f>Table1_3[[#This Row],[Admission_Date]]</f>
        <v>44577</v>
      </c>
      <c r="P126" s="2">
        <v>31957.33</v>
      </c>
      <c r="Q126" s="2">
        <f t="shared" si="1"/>
        <v>31</v>
      </c>
      <c r="R126" s="2" t="s">
        <v>2525</v>
      </c>
      <c r="S126" s="2">
        <v>24.074074074074073</v>
      </c>
      <c r="T126" s="2" t="s">
        <v>1567</v>
      </c>
      <c r="U126" t="str">
        <f>INDEX(Table2[Doctor_Name],MATCH(Table1_3[[#This Row],[Department]],Table2[Department],0))</f>
        <v>Dr. Suresh Johnson</v>
      </c>
    </row>
    <row r="127" spans="1:21" x14ac:dyDescent="0.35">
      <c r="A127" s="2" t="s">
        <v>608</v>
      </c>
      <c r="B127" s="2" t="s">
        <v>609</v>
      </c>
      <c r="C127" s="2">
        <v>41</v>
      </c>
      <c r="D127" s="2" t="s">
        <v>138</v>
      </c>
      <c r="E127" s="2" t="s">
        <v>230</v>
      </c>
      <c r="F127" s="2" t="s">
        <v>141</v>
      </c>
      <c r="G127" s="2" t="s">
        <v>35</v>
      </c>
      <c r="H127" s="2">
        <v>182</v>
      </c>
      <c r="I127" s="2">
        <v>74.599999999999994</v>
      </c>
      <c r="J127" s="2" t="s">
        <v>65</v>
      </c>
      <c r="K127" s="2" t="s">
        <v>36</v>
      </c>
      <c r="L127" s="2" t="s">
        <v>31</v>
      </c>
      <c r="M127" s="3">
        <v>45048</v>
      </c>
      <c r="N127" s="4">
        <f>Table1_3[[#This Row],[Admission_Date]]</f>
        <v>45048</v>
      </c>
      <c r="O127" s="5">
        <f>Table1_3[[#This Row],[Admission_Date]]</f>
        <v>45048</v>
      </c>
      <c r="P127" s="2">
        <v>42074.64</v>
      </c>
      <c r="Q127" s="2">
        <f t="shared" si="1"/>
        <v>37</v>
      </c>
      <c r="R127" s="2" t="s">
        <v>2523</v>
      </c>
      <c r="S127" s="2">
        <v>22.521434609346695</v>
      </c>
      <c r="T127" s="2" t="s">
        <v>1567</v>
      </c>
      <c r="U127" t="str">
        <f>INDEX(Table2[Doctor_Name],MATCH(Table1_3[[#This Row],[Department]],Table2[Department],0))</f>
        <v>Dr. Arvind Chen</v>
      </c>
    </row>
    <row r="128" spans="1:21" x14ac:dyDescent="0.35">
      <c r="A128" s="2" t="s">
        <v>71</v>
      </c>
      <c r="B128" s="2" t="s">
        <v>72</v>
      </c>
      <c r="C128" s="2">
        <v>69</v>
      </c>
      <c r="D128" s="2" t="s">
        <v>29</v>
      </c>
      <c r="E128" s="2" t="s">
        <v>73</v>
      </c>
      <c r="F128" s="2" t="s">
        <v>2517</v>
      </c>
      <c r="G128" s="2" t="s">
        <v>74</v>
      </c>
      <c r="H128" s="2">
        <v>168.7</v>
      </c>
      <c r="I128" s="2">
        <v>64.099999999999994</v>
      </c>
      <c r="J128" s="2" t="s">
        <v>19</v>
      </c>
      <c r="K128" s="2" t="s">
        <v>19</v>
      </c>
      <c r="L128" s="2" t="s">
        <v>42</v>
      </c>
      <c r="M128" s="3">
        <v>45100</v>
      </c>
      <c r="N128" s="4">
        <f>Table1_3[[#This Row],[Admission_Date]]</f>
        <v>45100</v>
      </c>
      <c r="O128" s="5">
        <f>Table1_3[[#This Row],[Admission_Date]]</f>
        <v>45100</v>
      </c>
      <c r="P128" s="2">
        <v>11317.83</v>
      </c>
      <c r="Q128" s="2">
        <f t="shared" si="1"/>
        <v>45</v>
      </c>
      <c r="R128" s="2" t="s">
        <v>2525</v>
      </c>
      <c r="S128" s="2">
        <v>22.523084404643907</v>
      </c>
      <c r="T128" s="2" t="s">
        <v>1567</v>
      </c>
      <c r="U128" t="str">
        <f>INDEX(Table2[Doctor_Name],MATCH(Table1_3[[#This Row],[Department]],Table2[Department],0))</f>
        <v>Dr. Rahul Nair</v>
      </c>
    </row>
    <row r="129" spans="1:21" x14ac:dyDescent="0.35">
      <c r="A129" s="2" t="s">
        <v>740</v>
      </c>
      <c r="B129" s="2" t="s">
        <v>741</v>
      </c>
      <c r="C129" s="2" t="s">
        <v>2519</v>
      </c>
      <c r="D129" s="2" t="s">
        <v>138</v>
      </c>
      <c r="E129" s="2" t="s">
        <v>45</v>
      </c>
      <c r="F129" s="2" t="s">
        <v>2517</v>
      </c>
      <c r="G129" s="2" t="s">
        <v>35</v>
      </c>
      <c r="H129" s="2">
        <v>147.4</v>
      </c>
      <c r="I129" s="2">
        <v>106.4</v>
      </c>
      <c r="J129" s="2" t="s">
        <v>36</v>
      </c>
      <c r="K129" s="2" t="s">
        <v>65</v>
      </c>
      <c r="L129" s="2" t="s">
        <v>143</v>
      </c>
      <c r="M129" s="3">
        <v>45073</v>
      </c>
      <c r="N129" s="4">
        <f>Table1_3[[#This Row],[Admission_Date]]</f>
        <v>45073</v>
      </c>
      <c r="O129" s="5">
        <f>Table1_3[[#This Row],[Admission_Date]]</f>
        <v>45073</v>
      </c>
      <c r="P129" s="2">
        <v>30999.48</v>
      </c>
      <c r="Q129" s="2">
        <f t="shared" si="1"/>
        <v>35</v>
      </c>
      <c r="R129" s="2" t="s">
        <v>36</v>
      </c>
      <c r="S129" s="2">
        <v>48.971866951169893</v>
      </c>
      <c r="T129" s="2" t="s">
        <v>2522</v>
      </c>
      <c r="U129" t="str">
        <f>INDEX(Table2[Doctor_Name],MATCH(Table1_3[[#This Row],[Department]],Table2[Department],0))</f>
        <v>Dr. Neha Liu</v>
      </c>
    </row>
    <row r="130" spans="1:21" x14ac:dyDescent="0.35">
      <c r="A130" s="2" t="s">
        <v>1024</v>
      </c>
      <c r="B130" s="2" t="s">
        <v>1025</v>
      </c>
      <c r="C130" s="2">
        <v>22</v>
      </c>
      <c r="D130" s="2" t="s">
        <v>138</v>
      </c>
      <c r="E130" s="2" t="s">
        <v>89</v>
      </c>
      <c r="F130" s="2" t="s">
        <v>79</v>
      </c>
      <c r="G130" s="2" t="s">
        <v>280</v>
      </c>
      <c r="H130" s="2">
        <v>154.69999999999999</v>
      </c>
      <c r="I130" s="2">
        <v>107.5</v>
      </c>
      <c r="J130" s="2" t="s">
        <v>19</v>
      </c>
      <c r="K130" s="2" t="s">
        <v>19</v>
      </c>
      <c r="L130" s="2" t="s">
        <v>199</v>
      </c>
      <c r="M130" s="3">
        <v>44456</v>
      </c>
      <c r="N130" s="4">
        <f>Table1_3[[#This Row],[Admission_Date]]</f>
        <v>44456</v>
      </c>
      <c r="O130" s="5">
        <f>Table1_3[[#This Row],[Admission_Date]]</f>
        <v>44456</v>
      </c>
      <c r="P130" s="2">
        <v>43370.9</v>
      </c>
      <c r="Q130" s="2">
        <f t="shared" ref="Q130:Q193" si="2">SUMPRODUCT(($L$2:$L$5000=L130)*($O$2:$O$5000&gt;P130))+1</f>
        <v>34</v>
      </c>
      <c r="R130" s="2" t="s">
        <v>2527</v>
      </c>
      <c r="S130" s="2">
        <v>44.918768064134817</v>
      </c>
      <c r="T130" s="2" t="s">
        <v>2522</v>
      </c>
      <c r="U130" t="str">
        <f>INDEX(Table2[Doctor_Name],MATCH(Table1_3[[#This Row],[Department]],Table2[Department],0))</f>
        <v>Dr. Vikram Torres</v>
      </c>
    </row>
    <row r="131" spans="1:21" x14ac:dyDescent="0.35">
      <c r="A131" s="2" t="s">
        <v>893</v>
      </c>
      <c r="B131" s="2" t="s">
        <v>361</v>
      </c>
      <c r="C131" s="2">
        <v>35</v>
      </c>
      <c r="D131" s="2" t="s">
        <v>29</v>
      </c>
      <c r="E131" s="2" t="s">
        <v>217</v>
      </c>
      <c r="F131" s="2" t="s">
        <v>2518</v>
      </c>
      <c r="G131" s="2" t="s">
        <v>60</v>
      </c>
      <c r="H131" s="2">
        <v>190.3</v>
      </c>
      <c r="I131" s="2">
        <v>107.5</v>
      </c>
      <c r="J131" s="2" t="s">
        <v>65</v>
      </c>
      <c r="K131" s="2" t="s">
        <v>65</v>
      </c>
      <c r="L131" s="2" t="s">
        <v>107</v>
      </c>
      <c r="M131" s="3">
        <v>44202</v>
      </c>
      <c r="N131" s="4">
        <f>Table1_3[[#This Row],[Admission_Date]]</f>
        <v>44202</v>
      </c>
      <c r="O131" s="5">
        <f>Table1_3[[#This Row],[Admission_Date]]</f>
        <v>44202</v>
      </c>
      <c r="P131" s="2">
        <v>5110.51</v>
      </c>
      <c r="Q131" s="2">
        <f t="shared" si="2"/>
        <v>83</v>
      </c>
      <c r="R131" s="2" t="s">
        <v>2523</v>
      </c>
      <c r="S131" s="2">
        <v>29.684578571489716</v>
      </c>
      <c r="T131" s="2" t="s">
        <v>2526</v>
      </c>
      <c r="U131" t="str">
        <f>INDEX(Table2[Doctor_Name],MATCH(Table1_3[[#This Row],[Department]],Table2[Department],0))</f>
        <v>Dr. Anita Sanchez</v>
      </c>
    </row>
    <row r="132" spans="1:21" x14ac:dyDescent="0.35">
      <c r="A132" s="2" t="s">
        <v>1349</v>
      </c>
      <c r="B132" s="2" t="s">
        <v>1350</v>
      </c>
      <c r="C132" s="2">
        <v>28</v>
      </c>
      <c r="D132" s="2" t="s">
        <v>138</v>
      </c>
      <c r="E132" s="2" t="s">
        <v>53</v>
      </c>
      <c r="F132" s="2" t="s">
        <v>17</v>
      </c>
      <c r="G132" s="2" t="s">
        <v>36</v>
      </c>
      <c r="H132" s="2">
        <v>154</v>
      </c>
      <c r="I132" s="2">
        <v>83.7</v>
      </c>
      <c r="J132" s="2" t="s">
        <v>36</v>
      </c>
      <c r="K132" s="2" t="s">
        <v>19</v>
      </c>
      <c r="L132" s="2" t="s">
        <v>69</v>
      </c>
      <c r="M132" s="3">
        <v>44400</v>
      </c>
      <c r="N132" s="4">
        <f>Table1_3[[#This Row],[Admission_Date]]</f>
        <v>44400</v>
      </c>
      <c r="O132" s="5">
        <f>Table1_3[[#This Row],[Admission_Date]]</f>
        <v>44400</v>
      </c>
      <c r="P132" s="2">
        <v>39302.54</v>
      </c>
      <c r="Q132" s="2">
        <f t="shared" si="2"/>
        <v>107</v>
      </c>
      <c r="R132" s="2" t="s">
        <v>2523</v>
      </c>
      <c r="S132" s="2">
        <v>35.292629448473605</v>
      </c>
      <c r="T132" s="2" t="s">
        <v>2522</v>
      </c>
      <c r="U132" t="str">
        <f>INDEX(Table2[Doctor_Name],MATCH(Table1_3[[#This Row],[Department]],Table2[Department],0))</f>
        <v>Dr. Vikram Wang</v>
      </c>
    </row>
    <row r="133" spans="1:21" x14ac:dyDescent="0.35">
      <c r="A133" s="2" t="s">
        <v>88</v>
      </c>
      <c r="B133" s="2" t="s">
        <v>2406</v>
      </c>
      <c r="C133" s="2">
        <v>26</v>
      </c>
      <c r="D133" s="2" t="s">
        <v>138</v>
      </c>
      <c r="E133" s="2" t="s">
        <v>89</v>
      </c>
      <c r="F133" s="2" t="s">
        <v>79</v>
      </c>
      <c r="G133" s="2" t="s">
        <v>90</v>
      </c>
      <c r="H133" s="2">
        <v>176</v>
      </c>
      <c r="I133" s="2">
        <v>62.5</v>
      </c>
      <c r="J133" s="2" t="s">
        <v>36</v>
      </c>
      <c r="K133" s="2" t="s">
        <v>36</v>
      </c>
      <c r="L133" s="2" t="s">
        <v>69</v>
      </c>
      <c r="M133" s="3">
        <v>44303</v>
      </c>
      <c r="N133" s="4">
        <f>Table1_3[[#This Row],[Admission_Date]]</f>
        <v>44303</v>
      </c>
      <c r="O133" s="5">
        <f>Table1_3[[#This Row],[Admission_Date]]</f>
        <v>44303</v>
      </c>
      <c r="P133" s="2">
        <v>31467.41</v>
      </c>
      <c r="Q133" s="2">
        <f t="shared" si="2"/>
        <v>107</v>
      </c>
      <c r="R133" s="2" t="s">
        <v>2523</v>
      </c>
      <c r="S133" s="2">
        <v>20.176911157024794</v>
      </c>
      <c r="T133" s="2" t="s">
        <v>1567</v>
      </c>
      <c r="U133" t="str">
        <f>INDEX(Table2[Doctor_Name],MATCH(Table1_3[[#This Row],[Department]],Table2[Department],0))</f>
        <v>Dr. Vikram Wang</v>
      </c>
    </row>
    <row r="134" spans="1:21" x14ac:dyDescent="0.35">
      <c r="A134" s="2" t="s">
        <v>614</v>
      </c>
      <c r="B134" s="2" t="s">
        <v>2440</v>
      </c>
      <c r="C134" s="2">
        <v>17</v>
      </c>
      <c r="D134" s="2" t="s">
        <v>52</v>
      </c>
      <c r="E134" s="2" t="s">
        <v>130</v>
      </c>
      <c r="F134" s="2" t="s">
        <v>2517</v>
      </c>
      <c r="G134" s="2" t="s">
        <v>35</v>
      </c>
      <c r="H134" s="2">
        <v>186.9</v>
      </c>
      <c r="I134" s="2">
        <v>50.9</v>
      </c>
      <c r="J134" s="2" t="s">
        <v>36</v>
      </c>
      <c r="K134" s="2" t="s">
        <v>19</v>
      </c>
      <c r="L134" s="2" t="s">
        <v>31</v>
      </c>
      <c r="M134" s="3">
        <v>44342</v>
      </c>
      <c r="N134" s="4">
        <f>Table1_3[[#This Row],[Admission_Date]]</f>
        <v>44342</v>
      </c>
      <c r="O134" s="5">
        <f>Table1_3[[#This Row],[Admission_Date]]</f>
        <v>44342</v>
      </c>
      <c r="P134" s="2">
        <v>19461.96</v>
      </c>
      <c r="Q134" s="2">
        <f t="shared" si="2"/>
        <v>37</v>
      </c>
      <c r="R134" s="2" t="s">
        <v>2521</v>
      </c>
      <c r="S134" s="2">
        <v>14.571329520740669</v>
      </c>
      <c r="T134" s="2" t="s">
        <v>2524</v>
      </c>
      <c r="U134" t="str">
        <f>INDEX(Table2[Doctor_Name],MATCH(Table1_3[[#This Row],[Department]],Table2[Department],0))</f>
        <v>Dr. Arvind Chen</v>
      </c>
    </row>
    <row r="135" spans="1:21" x14ac:dyDescent="0.35">
      <c r="A135" s="2" t="s">
        <v>1021</v>
      </c>
      <c r="B135" s="2" t="s">
        <v>1022</v>
      </c>
      <c r="C135" s="2">
        <v>18</v>
      </c>
      <c r="D135" s="2" t="s">
        <v>29</v>
      </c>
      <c r="E135" s="2" t="s">
        <v>146</v>
      </c>
      <c r="F135" s="2" t="s">
        <v>17</v>
      </c>
      <c r="G135" s="2" t="s">
        <v>80</v>
      </c>
      <c r="H135" s="2">
        <v>176.4</v>
      </c>
      <c r="I135" s="2">
        <v>105</v>
      </c>
      <c r="J135" s="2" t="s">
        <v>65</v>
      </c>
      <c r="K135" s="2" t="s">
        <v>65</v>
      </c>
      <c r="L135" s="2" t="s">
        <v>143</v>
      </c>
      <c r="M135" s="3">
        <v>45103</v>
      </c>
      <c r="N135" s="4">
        <f>Table1_3[[#This Row],[Admission_Date]]</f>
        <v>45103</v>
      </c>
      <c r="O135" s="5">
        <f>Table1_3[[#This Row],[Admission_Date]]</f>
        <v>45103</v>
      </c>
      <c r="P135" s="2">
        <v>4791.0600000000004</v>
      </c>
      <c r="Q135" s="2">
        <f t="shared" si="2"/>
        <v>35</v>
      </c>
      <c r="R135" s="2" t="s">
        <v>2521</v>
      </c>
      <c r="S135" s="2">
        <v>33.743656192635783</v>
      </c>
      <c r="T135" s="2" t="s">
        <v>2522</v>
      </c>
      <c r="U135" t="str">
        <f>INDEX(Table2[Doctor_Name],MATCH(Table1_3[[#This Row],[Department]],Table2[Department],0))</f>
        <v>Dr. Neha Liu</v>
      </c>
    </row>
    <row r="136" spans="1:21" x14ac:dyDescent="0.35">
      <c r="A136" s="2" t="s">
        <v>156</v>
      </c>
      <c r="B136" s="2" t="s">
        <v>157</v>
      </c>
      <c r="C136" s="2">
        <v>18</v>
      </c>
      <c r="D136" s="2" t="s">
        <v>138</v>
      </c>
      <c r="E136" s="2" t="s">
        <v>53</v>
      </c>
      <c r="F136" s="2" t="s">
        <v>79</v>
      </c>
      <c r="G136" s="2" t="s">
        <v>112</v>
      </c>
      <c r="H136" s="2">
        <v>161</v>
      </c>
      <c r="I136" s="2">
        <v>102.1</v>
      </c>
      <c r="J136" s="2" t="s">
        <v>65</v>
      </c>
      <c r="K136" s="2" t="s">
        <v>19</v>
      </c>
      <c r="L136" s="2" t="s">
        <v>2537</v>
      </c>
      <c r="M136" s="3">
        <v>45240</v>
      </c>
      <c r="N136" s="4">
        <f>Table1_3[[#This Row],[Admission_Date]]</f>
        <v>45240</v>
      </c>
      <c r="O136" s="5">
        <f>Table1_3[[#This Row],[Admission_Date]]</f>
        <v>45240</v>
      </c>
      <c r="P136" s="2">
        <v>37518.26</v>
      </c>
      <c r="Q136" s="2">
        <f t="shared" si="2"/>
        <v>30</v>
      </c>
      <c r="R136" s="2" t="s">
        <v>2521</v>
      </c>
      <c r="S136" s="2">
        <v>39.388912464796874</v>
      </c>
      <c r="T136" s="2" t="s">
        <v>2522</v>
      </c>
      <c r="U136" t="str">
        <f>INDEX(Table2[Doctor_Name],MATCH(Table1_3[[#This Row],[Department]],Table2[Department],0))</f>
        <v>Dr. Sunita Zhang</v>
      </c>
    </row>
    <row r="137" spans="1:21" x14ac:dyDescent="0.35">
      <c r="A137" s="2" t="s">
        <v>557</v>
      </c>
      <c r="B137" s="2" t="s">
        <v>558</v>
      </c>
      <c r="C137" s="2">
        <v>82</v>
      </c>
      <c r="D137" s="2" t="s">
        <v>52</v>
      </c>
      <c r="E137" s="2" t="s">
        <v>45</v>
      </c>
      <c r="F137" s="2" t="s">
        <v>273</v>
      </c>
      <c r="G137" s="2" t="s">
        <v>102</v>
      </c>
      <c r="H137" s="2">
        <v>191</v>
      </c>
      <c r="I137" s="2">
        <v>101.5</v>
      </c>
      <c r="J137" s="2" t="s">
        <v>65</v>
      </c>
      <c r="K137" s="2" t="s">
        <v>19</v>
      </c>
      <c r="L137" s="2" t="s">
        <v>2537</v>
      </c>
      <c r="M137" s="3">
        <v>44335</v>
      </c>
      <c r="N137" s="4">
        <f>Table1_3[[#This Row],[Admission_Date]]</f>
        <v>44335</v>
      </c>
      <c r="O137" s="5">
        <f>Table1_3[[#This Row],[Admission_Date]]</f>
        <v>44335</v>
      </c>
      <c r="P137" s="2">
        <v>0</v>
      </c>
      <c r="Q137" s="2">
        <f t="shared" si="2"/>
        <v>30</v>
      </c>
      <c r="R137" s="2" t="s">
        <v>2525</v>
      </c>
      <c r="S137" s="2">
        <v>27.822702228557333</v>
      </c>
      <c r="T137" s="2" t="s">
        <v>2526</v>
      </c>
      <c r="U137" t="str">
        <f>INDEX(Table2[Doctor_Name],MATCH(Table1_3[[#This Row],[Department]],Table2[Department],0))</f>
        <v>Dr. Sunita Zhang</v>
      </c>
    </row>
    <row r="138" spans="1:21" x14ac:dyDescent="0.35">
      <c r="A138" s="2" t="s">
        <v>1270</v>
      </c>
      <c r="B138" s="2" t="s">
        <v>1271</v>
      </c>
      <c r="C138" s="2">
        <v>54</v>
      </c>
      <c r="D138" s="2" t="s">
        <v>29</v>
      </c>
      <c r="E138" s="2" t="s">
        <v>89</v>
      </c>
      <c r="F138" s="2" t="s">
        <v>2518</v>
      </c>
      <c r="G138" s="2" t="s">
        <v>80</v>
      </c>
      <c r="H138" s="2">
        <v>160</v>
      </c>
      <c r="I138" s="2">
        <v>68</v>
      </c>
      <c r="J138" s="2" t="s">
        <v>19</v>
      </c>
      <c r="K138" s="2" t="s">
        <v>19</v>
      </c>
      <c r="L138" s="2" t="s">
        <v>107</v>
      </c>
      <c r="M138" s="3">
        <v>45263</v>
      </c>
      <c r="N138" s="4">
        <f>Table1_3[[#This Row],[Admission_Date]]</f>
        <v>45263</v>
      </c>
      <c r="O138" s="5">
        <f>Table1_3[[#This Row],[Admission_Date]]</f>
        <v>45263</v>
      </c>
      <c r="P138" s="2">
        <v>31897.57</v>
      </c>
      <c r="Q138" s="2">
        <f t="shared" si="2"/>
        <v>83</v>
      </c>
      <c r="R138" s="2" t="s">
        <v>2523</v>
      </c>
      <c r="S138" s="2">
        <v>26.562499999999996</v>
      </c>
      <c r="T138" s="2" t="s">
        <v>2526</v>
      </c>
      <c r="U138" t="str">
        <f>INDEX(Table2[Doctor_Name],MATCH(Table1_3[[#This Row],[Department]],Table2[Department],0))</f>
        <v>Dr. Anita Sanchez</v>
      </c>
    </row>
    <row r="139" spans="1:21" x14ac:dyDescent="0.35">
      <c r="A139" s="2" t="s">
        <v>1144</v>
      </c>
      <c r="B139" s="2" t="s">
        <v>39</v>
      </c>
      <c r="C139" s="2">
        <v>8</v>
      </c>
      <c r="D139" s="2" t="s">
        <v>138</v>
      </c>
      <c r="E139" s="2" t="s">
        <v>45</v>
      </c>
      <c r="F139" s="2" t="s">
        <v>36</v>
      </c>
      <c r="G139" s="2" t="s">
        <v>198</v>
      </c>
      <c r="H139" s="2">
        <v>184.1</v>
      </c>
      <c r="I139" s="2">
        <v>99</v>
      </c>
      <c r="J139" s="2" t="s">
        <v>65</v>
      </c>
      <c r="K139" s="2" t="s">
        <v>19</v>
      </c>
      <c r="L139" s="2" t="s">
        <v>55</v>
      </c>
      <c r="M139" s="3">
        <v>44478</v>
      </c>
      <c r="N139" s="4">
        <f>Table1_3[[#This Row],[Admission_Date]]</f>
        <v>44478</v>
      </c>
      <c r="O139" s="5">
        <f>Table1_3[[#This Row],[Admission_Date]]</f>
        <v>44478</v>
      </c>
      <c r="P139" s="2">
        <v>1061.8499999999999</v>
      </c>
      <c r="Q139" s="2">
        <f t="shared" si="2"/>
        <v>42</v>
      </c>
      <c r="R139" s="2" t="s">
        <v>2521</v>
      </c>
      <c r="S139" s="2">
        <v>29.209735044099325</v>
      </c>
      <c r="T139" s="2" t="s">
        <v>2526</v>
      </c>
      <c r="U139" t="str">
        <f>INDEX(Table2[Doctor_Name],MATCH(Table1_3[[#This Row],[Department]],Table2[Department],0))</f>
        <v>Dr. Sunita Sanchez</v>
      </c>
    </row>
    <row r="140" spans="1:21" x14ac:dyDescent="0.35">
      <c r="A140" s="2" t="s">
        <v>336</v>
      </c>
      <c r="B140" s="2" t="s">
        <v>2421</v>
      </c>
      <c r="C140" s="2">
        <v>35</v>
      </c>
      <c r="D140" s="2" t="s">
        <v>138</v>
      </c>
      <c r="E140" s="2" t="s">
        <v>45</v>
      </c>
      <c r="F140" s="2" t="s">
        <v>273</v>
      </c>
      <c r="G140" s="2" t="s">
        <v>102</v>
      </c>
      <c r="H140" s="2">
        <v>193</v>
      </c>
      <c r="I140" s="2">
        <v>128</v>
      </c>
      <c r="J140" s="2" t="s">
        <v>65</v>
      </c>
      <c r="K140" s="2" t="s">
        <v>65</v>
      </c>
      <c r="L140" s="2" t="s">
        <v>175</v>
      </c>
      <c r="M140" s="3">
        <v>45139</v>
      </c>
      <c r="N140" s="4">
        <f>Table1_3[[#This Row],[Admission_Date]]</f>
        <v>45139</v>
      </c>
      <c r="O140" s="5">
        <f>Table1_3[[#This Row],[Admission_Date]]</f>
        <v>45139</v>
      </c>
      <c r="P140" s="2">
        <v>25230.7</v>
      </c>
      <c r="Q140" s="2">
        <f t="shared" si="2"/>
        <v>38</v>
      </c>
      <c r="R140" s="2" t="s">
        <v>2523</v>
      </c>
      <c r="S140" s="2">
        <v>34.363338613117129</v>
      </c>
      <c r="T140" s="2" t="s">
        <v>2522</v>
      </c>
      <c r="U140" t="str">
        <f>INDEX(Table2[Doctor_Name],MATCH(Table1_3[[#This Row],[Department]],Table2[Department],0))</f>
        <v>Dr. Arvind Wilson</v>
      </c>
    </row>
    <row r="141" spans="1:21" x14ac:dyDescent="0.35">
      <c r="A141" s="2" t="s">
        <v>1262</v>
      </c>
      <c r="B141" s="2" t="s">
        <v>1263</v>
      </c>
      <c r="C141" s="2">
        <v>95</v>
      </c>
      <c r="D141" s="2" t="s">
        <v>52</v>
      </c>
      <c r="E141" s="2" t="s">
        <v>24</v>
      </c>
      <c r="F141" s="2" t="s">
        <v>141</v>
      </c>
      <c r="G141" s="2" t="s">
        <v>35</v>
      </c>
      <c r="H141" s="2">
        <v>166.6</v>
      </c>
      <c r="I141" s="2">
        <v>123</v>
      </c>
      <c r="J141" s="2" t="s">
        <v>19</v>
      </c>
      <c r="K141" s="2" t="s">
        <v>19</v>
      </c>
      <c r="L141" s="2" t="s">
        <v>42</v>
      </c>
      <c r="M141" s="3">
        <v>45055</v>
      </c>
      <c r="N141" s="4">
        <f>Table1_3[[#This Row],[Admission_Date]]</f>
        <v>45055</v>
      </c>
      <c r="O141" s="5">
        <f>Table1_3[[#This Row],[Admission_Date]]</f>
        <v>45055</v>
      </c>
      <c r="P141" s="2">
        <v>16429.2</v>
      </c>
      <c r="Q141" s="2">
        <f t="shared" si="2"/>
        <v>45</v>
      </c>
      <c r="R141" s="2" t="s">
        <v>2525</v>
      </c>
      <c r="S141" s="2">
        <v>44.315445265741353</v>
      </c>
      <c r="T141" s="2" t="s">
        <v>2522</v>
      </c>
      <c r="U141" t="str">
        <f>INDEX(Table2[Doctor_Name],MATCH(Table1_3[[#This Row],[Department]],Table2[Department],0))</f>
        <v>Dr. Rahul Nair</v>
      </c>
    </row>
    <row r="142" spans="1:21" x14ac:dyDescent="0.35">
      <c r="A142" s="2" t="s">
        <v>599</v>
      </c>
      <c r="B142" s="2" t="s">
        <v>600</v>
      </c>
      <c r="C142" s="2">
        <v>7</v>
      </c>
      <c r="D142" s="2" t="s">
        <v>29</v>
      </c>
      <c r="E142" s="2" t="s">
        <v>130</v>
      </c>
      <c r="F142" s="2" t="s">
        <v>141</v>
      </c>
      <c r="G142" s="2" t="s">
        <v>102</v>
      </c>
      <c r="H142" s="2">
        <v>193.4</v>
      </c>
      <c r="I142" s="2">
        <v>109.6</v>
      </c>
      <c r="J142" s="2" t="s">
        <v>65</v>
      </c>
      <c r="K142" s="2" t="s">
        <v>65</v>
      </c>
      <c r="L142" s="2" t="s">
        <v>175</v>
      </c>
      <c r="M142" s="3">
        <v>45132</v>
      </c>
      <c r="N142" s="4">
        <f>Table1_3[[#This Row],[Admission_Date]]</f>
        <v>45132</v>
      </c>
      <c r="O142" s="5">
        <f>Table1_3[[#This Row],[Admission_Date]]</f>
        <v>45132</v>
      </c>
      <c r="P142" s="2">
        <v>18761.509999999998</v>
      </c>
      <c r="Q142" s="2">
        <f t="shared" si="2"/>
        <v>38</v>
      </c>
      <c r="R142" s="2" t="s">
        <v>2521</v>
      </c>
      <c r="S142" s="2">
        <v>29.302023657641136</v>
      </c>
      <c r="T142" s="2" t="s">
        <v>2526</v>
      </c>
      <c r="U142" t="str">
        <f>INDEX(Table2[Doctor_Name],MATCH(Table1_3[[#This Row],[Department]],Table2[Department],0))</f>
        <v>Dr. Arvind Wilson</v>
      </c>
    </row>
    <row r="143" spans="1:21" x14ac:dyDescent="0.35">
      <c r="A143" s="2" t="s">
        <v>1165</v>
      </c>
      <c r="B143" s="2" t="s">
        <v>1166</v>
      </c>
      <c r="C143" s="2">
        <v>26</v>
      </c>
      <c r="D143" s="2" t="s">
        <v>138</v>
      </c>
      <c r="E143" s="2" t="s">
        <v>84</v>
      </c>
      <c r="F143" s="2" t="s">
        <v>2517</v>
      </c>
      <c r="G143" s="2" t="s">
        <v>208</v>
      </c>
      <c r="H143" s="2">
        <v>146</v>
      </c>
      <c r="I143" s="2">
        <v>61</v>
      </c>
      <c r="J143" s="2" t="s">
        <v>36</v>
      </c>
      <c r="K143" s="2" t="s">
        <v>36</v>
      </c>
      <c r="L143" s="2" t="s">
        <v>86</v>
      </c>
      <c r="M143" s="3">
        <v>44216</v>
      </c>
      <c r="N143" s="4">
        <f>Table1_3[[#This Row],[Admission_Date]]</f>
        <v>44216</v>
      </c>
      <c r="O143" s="5">
        <f>Table1_3[[#This Row],[Admission_Date]]</f>
        <v>44216</v>
      </c>
      <c r="P143" s="2">
        <v>572.37</v>
      </c>
      <c r="Q143" s="2">
        <f t="shared" si="2"/>
        <v>35</v>
      </c>
      <c r="R143" s="2" t="s">
        <v>2523</v>
      </c>
      <c r="S143" s="2">
        <v>28.617001313567279</v>
      </c>
      <c r="T143" s="2" t="s">
        <v>2526</v>
      </c>
      <c r="U143" t="str">
        <f>INDEX(Table2[Doctor_Name],MATCH(Table1_3[[#This Row],[Department]],Table2[Department],0))</f>
        <v>Dr. Meera Torres</v>
      </c>
    </row>
    <row r="144" spans="1:21" x14ac:dyDescent="0.35">
      <c r="A144" s="2" t="s">
        <v>504</v>
      </c>
      <c r="B144" s="2" t="s">
        <v>505</v>
      </c>
      <c r="C144" s="2">
        <v>63</v>
      </c>
      <c r="D144" s="2" t="s">
        <v>29</v>
      </c>
      <c r="E144" s="2" t="s">
        <v>89</v>
      </c>
      <c r="F144" s="2" t="s">
        <v>273</v>
      </c>
      <c r="G144" s="2" t="s">
        <v>80</v>
      </c>
      <c r="H144" s="2">
        <v>156</v>
      </c>
      <c r="I144" s="2">
        <v>116.1</v>
      </c>
      <c r="J144" s="2" t="s">
        <v>36</v>
      </c>
      <c r="K144" s="2" t="s">
        <v>65</v>
      </c>
      <c r="L144" s="2" t="s">
        <v>31</v>
      </c>
      <c r="M144" s="3">
        <v>44370</v>
      </c>
      <c r="N144" s="4">
        <f>Table1_3[[#This Row],[Admission_Date]]</f>
        <v>44370</v>
      </c>
      <c r="O144" s="5">
        <f>Table1_3[[#This Row],[Admission_Date]]</f>
        <v>44370</v>
      </c>
      <c r="P144" s="2">
        <v>5231.0600000000004</v>
      </c>
      <c r="Q144" s="2">
        <f t="shared" si="2"/>
        <v>37</v>
      </c>
      <c r="R144" s="2" t="s">
        <v>2525</v>
      </c>
      <c r="S144" s="2">
        <v>47.707100591715971</v>
      </c>
      <c r="T144" s="2" t="s">
        <v>2522</v>
      </c>
      <c r="U144" t="str">
        <f>INDEX(Table2[Doctor_Name],MATCH(Table1_3[[#This Row],[Department]],Table2[Department],0))</f>
        <v>Dr. Arvind Chen</v>
      </c>
    </row>
    <row r="145" spans="1:21" x14ac:dyDescent="0.35">
      <c r="A145" s="2" t="s">
        <v>1282</v>
      </c>
      <c r="B145" s="2" t="s">
        <v>1283</v>
      </c>
      <c r="C145" s="2">
        <v>31</v>
      </c>
      <c r="D145" s="2" t="s">
        <v>29</v>
      </c>
      <c r="E145" s="2" t="s">
        <v>53</v>
      </c>
      <c r="F145" s="2" t="s">
        <v>17</v>
      </c>
      <c r="G145" s="2" t="s">
        <v>36</v>
      </c>
      <c r="H145" s="2">
        <v>146</v>
      </c>
      <c r="I145" s="2">
        <v>64</v>
      </c>
      <c r="J145" s="2" t="s">
        <v>65</v>
      </c>
      <c r="K145" s="2" t="s">
        <v>19</v>
      </c>
      <c r="L145" s="2" t="s">
        <v>42</v>
      </c>
      <c r="M145" s="3">
        <v>44420</v>
      </c>
      <c r="N145" s="4">
        <f>Table1_3[[#This Row],[Admission_Date]]</f>
        <v>44420</v>
      </c>
      <c r="O145" s="5">
        <f>Table1_3[[#This Row],[Admission_Date]]</f>
        <v>44420</v>
      </c>
      <c r="P145" s="2">
        <v>5730.06</v>
      </c>
      <c r="Q145" s="2">
        <f t="shared" si="2"/>
        <v>45</v>
      </c>
      <c r="R145" s="2" t="s">
        <v>2523</v>
      </c>
      <c r="S145" s="2">
        <v>30.024394820791898</v>
      </c>
      <c r="T145" s="2" t="s">
        <v>2522</v>
      </c>
      <c r="U145" t="str">
        <f>INDEX(Table2[Doctor_Name],MATCH(Table1_3[[#This Row],[Department]],Table2[Department],0))</f>
        <v>Dr. Rahul Nair</v>
      </c>
    </row>
    <row r="146" spans="1:21" x14ac:dyDescent="0.35">
      <c r="A146" s="2" t="s">
        <v>136</v>
      </c>
      <c r="B146" s="2" t="s">
        <v>137</v>
      </c>
      <c r="C146" s="2">
        <v>16</v>
      </c>
      <c r="D146" s="2" t="s">
        <v>138</v>
      </c>
      <c r="E146" s="2" t="s">
        <v>73</v>
      </c>
      <c r="F146" s="2" t="s">
        <v>79</v>
      </c>
      <c r="G146" s="2" t="s">
        <v>36</v>
      </c>
      <c r="H146" s="2">
        <v>156</v>
      </c>
      <c r="I146" s="2">
        <v>70</v>
      </c>
      <c r="J146" s="2" t="s">
        <v>36</v>
      </c>
      <c r="K146" s="2" t="s">
        <v>65</v>
      </c>
      <c r="L146" s="2" t="s">
        <v>107</v>
      </c>
      <c r="M146" s="3">
        <v>45008</v>
      </c>
      <c r="N146" s="4">
        <f>Table1_3[[#This Row],[Admission_Date]]</f>
        <v>45008</v>
      </c>
      <c r="O146" s="5">
        <f>Table1_3[[#This Row],[Admission_Date]]</f>
        <v>45008</v>
      </c>
      <c r="P146" s="2">
        <v>2923.06</v>
      </c>
      <c r="Q146" s="2">
        <f t="shared" si="2"/>
        <v>83</v>
      </c>
      <c r="R146" s="2" t="s">
        <v>2521</v>
      </c>
      <c r="S146" s="2">
        <v>28.763971071663377</v>
      </c>
      <c r="T146" s="2" t="s">
        <v>2526</v>
      </c>
      <c r="U146" t="str">
        <f>INDEX(Table2[Doctor_Name],MATCH(Table1_3[[#This Row],[Department]],Table2[Department],0))</f>
        <v>Dr. Anita Sanchez</v>
      </c>
    </row>
    <row r="147" spans="1:21" x14ac:dyDescent="0.35">
      <c r="A147" s="2" t="s">
        <v>452</v>
      </c>
      <c r="B147" s="2" t="s">
        <v>453</v>
      </c>
      <c r="C147" s="2">
        <v>13</v>
      </c>
      <c r="D147" s="2" t="s">
        <v>138</v>
      </c>
      <c r="E147" s="2" t="s">
        <v>45</v>
      </c>
      <c r="F147" s="2" t="s">
        <v>17</v>
      </c>
      <c r="G147" s="2" t="s">
        <v>198</v>
      </c>
      <c r="H147" s="2">
        <v>165</v>
      </c>
      <c r="I147" s="2">
        <v>128</v>
      </c>
      <c r="J147" s="2" t="s">
        <v>65</v>
      </c>
      <c r="K147" s="2" t="s">
        <v>19</v>
      </c>
      <c r="L147" s="2" t="s">
        <v>107</v>
      </c>
      <c r="M147" s="3">
        <v>44369</v>
      </c>
      <c r="N147" s="4">
        <f>Table1_3[[#This Row],[Admission_Date]]</f>
        <v>44369</v>
      </c>
      <c r="O147" s="5">
        <f>Table1_3[[#This Row],[Admission_Date]]</f>
        <v>44369</v>
      </c>
      <c r="P147" s="2">
        <v>29512.880000000001</v>
      </c>
      <c r="Q147" s="2">
        <f t="shared" si="2"/>
        <v>83</v>
      </c>
      <c r="R147" s="2" t="s">
        <v>2521</v>
      </c>
      <c r="S147" s="2">
        <v>47.015610651974292</v>
      </c>
      <c r="T147" s="2" t="s">
        <v>2522</v>
      </c>
      <c r="U147" t="str">
        <f>INDEX(Table2[Doctor_Name],MATCH(Table1_3[[#This Row],[Department]],Table2[Department],0))</f>
        <v>Dr. Anita Sanchez</v>
      </c>
    </row>
    <row r="148" spans="1:21" x14ac:dyDescent="0.35">
      <c r="A148" s="2" t="s">
        <v>1303</v>
      </c>
      <c r="B148" s="2" t="s">
        <v>1304</v>
      </c>
      <c r="C148" s="2">
        <v>43</v>
      </c>
      <c r="D148" s="2" t="s">
        <v>138</v>
      </c>
      <c r="E148" s="2" t="s">
        <v>146</v>
      </c>
      <c r="F148" s="2" t="s">
        <v>2517</v>
      </c>
      <c r="G148" s="2" t="s">
        <v>208</v>
      </c>
      <c r="H148" s="2">
        <v>177</v>
      </c>
      <c r="I148" s="2">
        <v>74.400000000000006</v>
      </c>
      <c r="J148" s="2" t="s">
        <v>19</v>
      </c>
      <c r="K148" s="2" t="s">
        <v>65</v>
      </c>
      <c r="L148" s="2" t="s">
        <v>226</v>
      </c>
      <c r="M148" s="3">
        <v>44580</v>
      </c>
      <c r="N148" s="4">
        <f>Table1_3[[#This Row],[Admission_Date]]</f>
        <v>44580</v>
      </c>
      <c r="O148" s="5">
        <f>Table1_3[[#This Row],[Admission_Date]]</f>
        <v>44580</v>
      </c>
      <c r="P148" s="2">
        <v>14352.8</v>
      </c>
      <c r="Q148" s="2">
        <f t="shared" si="2"/>
        <v>35</v>
      </c>
      <c r="R148" s="2" t="s">
        <v>2523</v>
      </c>
      <c r="S148" s="2">
        <v>23.747965144115675</v>
      </c>
      <c r="T148" s="2" t="s">
        <v>1567</v>
      </c>
      <c r="U148" t="str">
        <f>INDEX(Table2[Doctor_Name],MATCH(Table1_3[[#This Row],[Department]],Table2[Department],0))</f>
        <v>Dr. Vikram Khan</v>
      </c>
    </row>
    <row r="149" spans="1:21" x14ac:dyDescent="0.35">
      <c r="A149" s="2" t="s">
        <v>193</v>
      </c>
      <c r="B149" s="2" t="s">
        <v>194</v>
      </c>
      <c r="C149" s="2">
        <v>62</v>
      </c>
      <c r="D149" s="2" t="s">
        <v>29</v>
      </c>
      <c r="E149" s="2" t="s">
        <v>45</v>
      </c>
      <c r="F149" s="2" t="s">
        <v>273</v>
      </c>
      <c r="G149" s="2" t="s">
        <v>102</v>
      </c>
      <c r="H149" s="2">
        <v>163.1</v>
      </c>
      <c r="I149" s="2">
        <v>112</v>
      </c>
      <c r="J149" s="2" t="s">
        <v>65</v>
      </c>
      <c r="K149" s="2" t="s">
        <v>36</v>
      </c>
      <c r="L149" s="2" t="s">
        <v>107</v>
      </c>
      <c r="M149" s="3">
        <v>45208</v>
      </c>
      <c r="N149" s="4">
        <f>Table1_3[[#This Row],[Admission_Date]]</f>
        <v>45208</v>
      </c>
      <c r="O149" s="5">
        <f>Table1_3[[#This Row],[Admission_Date]]</f>
        <v>45208</v>
      </c>
      <c r="P149" s="2">
        <v>39181.040000000001</v>
      </c>
      <c r="Q149" s="2">
        <f t="shared" si="2"/>
        <v>83</v>
      </c>
      <c r="R149" s="2" t="s">
        <v>2525</v>
      </c>
      <c r="S149" s="2">
        <v>42.102714835680999</v>
      </c>
      <c r="T149" s="2" t="s">
        <v>2522</v>
      </c>
      <c r="U149" t="str">
        <f>INDEX(Table2[Doctor_Name],MATCH(Table1_3[[#This Row],[Department]],Table2[Department],0))</f>
        <v>Dr. Anita Sanchez</v>
      </c>
    </row>
    <row r="150" spans="1:21" x14ac:dyDescent="0.35">
      <c r="A150" s="2" t="s">
        <v>833</v>
      </c>
      <c r="B150" s="2" t="s">
        <v>2460</v>
      </c>
      <c r="C150" s="2">
        <v>4</v>
      </c>
      <c r="D150" s="2" t="s">
        <v>29</v>
      </c>
      <c r="E150" s="2" t="s">
        <v>130</v>
      </c>
      <c r="F150" s="2" t="s">
        <v>273</v>
      </c>
      <c r="G150" s="2" t="s">
        <v>208</v>
      </c>
      <c r="H150" s="2">
        <v>164</v>
      </c>
      <c r="I150" s="2">
        <v>130</v>
      </c>
      <c r="J150" s="2" t="s">
        <v>65</v>
      </c>
      <c r="K150" s="2" t="s">
        <v>65</v>
      </c>
      <c r="L150" s="2" t="s">
        <v>143</v>
      </c>
      <c r="M150" s="3">
        <v>44809</v>
      </c>
      <c r="N150" s="4">
        <f>Table1_3[[#This Row],[Admission_Date]]</f>
        <v>44809</v>
      </c>
      <c r="O150" s="5">
        <f>Table1_3[[#This Row],[Admission_Date]]</f>
        <v>44809</v>
      </c>
      <c r="P150" s="2">
        <v>26917.63</v>
      </c>
      <c r="Q150" s="2">
        <f t="shared" si="2"/>
        <v>35</v>
      </c>
      <c r="R150" s="2" t="s">
        <v>2521</v>
      </c>
      <c r="S150" s="2">
        <v>48.334324806662707</v>
      </c>
      <c r="T150" s="2" t="s">
        <v>2522</v>
      </c>
      <c r="U150" t="str">
        <f>INDEX(Table2[Doctor_Name],MATCH(Table1_3[[#This Row],[Department]],Table2[Department],0))</f>
        <v>Dr. Neha Liu</v>
      </c>
    </row>
    <row r="151" spans="1:21" x14ac:dyDescent="0.35">
      <c r="A151" s="2" t="s">
        <v>468</v>
      </c>
      <c r="B151" s="2" t="s">
        <v>469</v>
      </c>
      <c r="C151" s="2">
        <v>46</v>
      </c>
      <c r="D151" s="2" t="s">
        <v>138</v>
      </c>
      <c r="E151" s="2" t="s">
        <v>73</v>
      </c>
      <c r="F151" s="2" t="s">
        <v>120</v>
      </c>
      <c r="G151" s="2" t="s">
        <v>112</v>
      </c>
      <c r="H151" s="2">
        <v>194.8</v>
      </c>
      <c r="I151" s="2">
        <v>42.5</v>
      </c>
      <c r="J151" s="2" t="s">
        <v>36</v>
      </c>
      <c r="K151" s="2" t="s">
        <v>65</v>
      </c>
      <c r="L151" s="2" t="s">
        <v>69</v>
      </c>
      <c r="M151" s="3">
        <v>44582</v>
      </c>
      <c r="N151" s="4">
        <f>Table1_3[[#This Row],[Admission_Date]]</f>
        <v>44582</v>
      </c>
      <c r="O151" s="5">
        <f>Table1_3[[#This Row],[Admission_Date]]</f>
        <v>44582</v>
      </c>
      <c r="P151" s="2">
        <v>27335.17</v>
      </c>
      <c r="Q151" s="2">
        <f t="shared" si="2"/>
        <v>107</v>
      </c>
      <c r="R151" s="2" t="s">
        <v>2523</v>
      </c>
      <c r="S151" s="2">
        <v>11.199819537966595</v>
      </c>
      <c r="T151" s="2" t="s">
        <v>2524</v>
      </c>
      <c r="U151" t="str">
        <f>INDEX(Table2[Doctor_Name],MATCH(Table1_3[[#This Row],[Department]],Table2[Department],0))</f>
        <v>Dr. Vikram Wang</v>
      </c>
    </row>
    <row r="152" spans="1:21" x14ac:dyDescent="0.35">
      <c r="A152" s="2" t="s">
        <v>1308</v>
      </c>
      <c r="B152" s="2" t="s">
        <v>2497</v>
      </c>
      <c r="C152" s="2">
        <v>43</v>
      </c>
      <c r="D152" s="2" t="s">
        <v>52</v>
      </c>
      <c r="E152" s="2" t="s">
        <v>111</v>
      </c>
      <c r="F152" s="2" t="s">
        <v>17</v>
      </c>
      <c r="G152" s="2" t="s">
        <v>102</v>
      </c>
      <c r="H152" s="2">
        <v>158</v>
      </c>
      <c r="I152" s="2" t="s">
        <v>2519</v>
      </c>
      <c r="J152" s="2" t="s">
        <v>36</v>
      </c>
      <c r="K152" s="2" t="s">
        <v>36</v>
      </c>
      <c r="L152" s="2" t="s">
        <v>86</v>
      </c>
      <c r="M152" s="3">
        <v>44487</v>
      </c>
      <c r="N152" s="4">
        <f>Table1_3[[#This Row],[Admission_Date]]</f>
        <v>44487</v>
      </c>
      <c r="O152" s="5">
        <f>Table1_3[[#This Row],[Admission_Date]]</f>
        <v>44487</v>
      </c>
      <c r="P152" s="2">
        <v>42400.800000000003</v>
      </c>
      <c r="Q152" s="2">
        <f t="shared" si="2"/>
        <v>35</v>
      </c>
      <c r="R152" s="2" t="s">
        <v>2523</v>
      </c>
      <c r="S152" s="2" t="s">
        <v>36</v>
      </c>
      <c r="T152" s="2" t="s">
        <v>36</v>
      </c>
      <c r="U152" t="str">
        <f>INDEX(Table2[Doctor_Name],MATCH(Table1_3[[#This Row],[Department]],Table2[Department],0))</f>
        <v>Dr. Meera Torres</v>
      </c>
    </row>
    <row r="153" spans="1:21" x14ac:dyDescent="0.35">
      <c r="A153" s="2" t="s">
        <v>1185</v>
      </c>
      <c r="B153" s="2" t="s">
        <v>1186</v>
      </c>
      <c r="C153" s="2">
        <v>42</v>
      </c>
      <c r="D153" s="2" t="s">
        <v>29</v>
      </c>
      <c r="E153" s="2" t="s">
        <v>73</v>
      </c>
      <c r="F153" s="2" t="s">
        <v>36</v>
      </c>
      <c r="G153" s="2" t="s">
        <v>36</v>
      </c>
      <c r="H153" s="2">
        <v>146</v>
      </c>
      <c r="I153" s="2">
        <v>127.2</v>
      </c>
      <c r="J153" s="2" t="s">
        <v>65</v>
      </c>
      <c r="K153" s="2" t="s">
        <v>36</v>
      </c>
      <c r="L153" s="2" t="s">
        <v>2537</v>
      </c>
      <c r="M153" s="3">
        <v>44556</v>
      </c>
      <c r="N153" s="4">
        <f>Table1_3[[#This Row],[Admission_Date]]</f>
        <v>44556</v>
      </c>
      <c r="O153" s="5">
        <f>Table1_3[[#This Row],[Admission_Date]]</f>
        <v>44556</v>
      </c>
      <c r="P153" s="2">
        <v>15687.75</v>
      </c>
      <c r="Q153" s="2">
        <f t="shared" si="2"/>
        <v>30</v>
      </c>
      <c r="R153" s="2" t="s">
        <v>2523</v>
      </c>
      <c r="S153" s="2">
        <v>59.673484706323897</v>
      </c>
      <c r="T153" s="2" t="s">
        <v>2522</v>
      </c>
      <c r="U153" t="str">
        <f>INDEX(Table2[Doctor_Name],MATCH(Table1_3[[#This Row],[Department]],Table2[Department],0))</f>
        <v>Dr. Sunita Zhang</v>
      </c>
    </row>
    <row r="154" spans="1:21" x14ac:dyDescent="0.35">
      <c r="A154" s="2" t="s">
        <v>148</v>
      </c>
      <c r="B154" s="2" t="s">
        <v>149</v>
      </c>
      <c r="C154" s="2">
        <v>73</v>
      </c>
      <c r="D154" s="2" t="s">
        <v>29</v>
      </c>
      <c r="E154" s="2" t="s">
        <v>73</v>
      </c>
      <c r="F154" s="2" t="s">
        <v>17</v>
      </c>
      <c r="G154" s="2" t="s">
        <v>36</v>
      </c>
      <c r="H154" s="2">
        <v>175</v>
      </c>
      <c r="I154" s="2">
        <v>53</v>
      </c>
      <c r="J154" s="2" t="s">
        <v>65</v>
      </c>
      <c r="K154" s="2" t="s">
        <v>65</v>
      </c>
      <c r="L154" s="2" t="s">
        <v>107</v>
      </c>
      <c r="M154" s="3">
        <v>44540</v>
      </c>
      <c r="N154" s="4">
        <f>Table1_3[[#This Row],[Admission_Date]]</f>
        <v>44540</v>
      </c>
      <c r="O154" s="5">
        <f>Table1_3[[#This Row],[Admission_Date]]</f>
        <v>44540</v>
      </c>
      <c r="P154" s="2">
        <v>44323.35</v>
      </c>
      <c r="Q154" s="2">
        <f t="shared" si="2"/>
        <v>78</v>
      </c>
      <c r="R154" s="2" t="s">
        <v>2525</v>
      </c>
      <c r="S154" s="2">
        <v>17.306122448979593</v>
      </c>
      <c r="T154" s="2" t="s">
        <v>2524</v>
      </c>
      <c r="U154" t="str">
        <f>INDEX(Table2[Doctor_Name],MATCH(Table1_3[[#This Row],[Department]],Table2[Department],0))</f>
        <v>Dr. Anita Sanchez</v>
      </c>
    </row>
    <row r="155" spans="1:21" x14ac:dyDescent="0.35">
      <c r="A155" s="2" t="s">
        <v>385</v>
      </c>
      <c r="B155" s="2" t="s">
        <v>2427</v>
      </c>
      <c r="C155" s="2">
        <v>89</v>
      </c>
      <c r="D155" s="2" t="s">
        <v>138</v>
      </c>
      <c r="E155" s="2" t="s">
        <v>146</v>
      </c>
      <c r="F155" s="2" t="s">
        <v>273</v>
      </c>
      <c r="G155" s="2" t="s">
        <v>36</v>
      </c>
      <c r="H155" s="2">
        <v>151</v>
      </c>
      <c r="I155" s="2">
        <v>78</v>
      </c>
      <c r="J155" s="2" t="s">
        <v>65</v>
      </c>
      <c r="K155" s="2" t="s">
        <v>65</v>
      </c>
      <c r="L155" s="2" t="s">
        <v>86</v>
      </c>
      <c r="M155" s="3">
        <v>44972</v>
      </c>
      <c r="N155" s="4">
        <f>Table1_3[[#This Row],[Admission_Date]]</f>
        <v>44972</v>
      </c>
      <c r="O155" s="5">
        <f>Table1_3[[#This Row],[Admission_Date]]</f>
        <v>44972</v>
      </c>
      <c r="P155" s="2">
        <v>27528.19</v>
      </c>
      <c r="Q155" s="2">
        <f t="shared" si="2"/>
        <v>35</v>
      </c>
      <c r="R155" s="2" t="s">
        <v>2525</v>
      </c>
      <c r="S155" s="2">
        <v>34.209025919915796</v>
      </c>
      <c r="T155" s="2" t="s">
        <v>2522</v>
      </c>
      <c r="U155" t="str">
        <f>INDEX(Table2[Doctor_Name],MATCH(Table1_3[[#This Row],[Department]],Table2[Department],0))</f>
        <v>Dr. Meera Torres</v>
      </c>
    </row>
    <row r="156" spans="1:21" x14ac:dyDescent="0.35">
      <c r="A156" s="2" t="s">
        <v>416</v>
      </c>
      <c r="B156" s="2" t="s">
        <v>2428</v>
      </c>
      <c r="C156" s="2">
        <v>5</v>
      </c>
      <c r="D156" s="2" t="s">
        <v>29</v>
      </c>
      <c r="E156" s="2" t="s">
        <v>24</v>
      </c>
      <c r="F156" s="2" t="s">
        <v>17</v>
      </c>
      <c r="G156" s="2" t="s">
        <v>417</v>
      </c>
      <c r="H156" s="2">
        <v>174.4</v>
      </c>
      <c r="I156" s="2">
        <v>54</v>
      </c>
      <c r="J156" s="2" t="s">
        <v>19</v>
      </c>
      <c r="K156" s="2" t="s">
        <v>65</v>
      </c>
      <c r="L156" s="2" t="s">
        <v>107</v>
      </c>
      <c r="M156" s="3">
        <v>45185</v>
      </c>
      <c r="N156" s="4">
        <f>Table1_3[[#This Row],[Admission_Date]]</f>
        <v>45185</v>
      </c>
      <c r="O156" s="5">
        <f>Table1_3[[#This Row],[Admission_Date]]</f>
        <v>45185</v>
      </c>
      <c r="P156" s="2">
        <v>2034.16</v>
      </c>
      <c r="Q156" s="2">
        <f t="shared" si="2"/>
        <v>83</v>
      </c>
      <c r="R156" s="2" t="s">
        <v>2521</v>
      </c>
      <c r="S156" s="2">
        <v>17.754187357966501</v>
      </c>
      <c r="T156" s="2" t="s">
        <v>2524</v>
      </c>
      <c r="U156" t="str">
        <f>INDEX(Table2[Doctor_Name],MATCH(Table1_3[[#This Row],[Department]],Table2[Department],0))</f>
        <v>Dr. Anita Sanchez</v>
      </c>
    </row>
    <row r="157" spans="1:21" x14ac:dyDescent="0.35">
      <c r="A157" s="2" t="s">
        <v>1464</v>
      </c>
      <c r="B157" s="2" t="s">
        <v>2512</v>
      </c>
      <c r="C157" s="2">
        <v>25</v>
      </c>
      <c r="D157" s="2" t="s">
        <v>29</v>
      </c>
      <c r="E157" s="2" t="s">
        <v>89</v>
      </c>
      <c r="F157" s="2" t="s">
        <v>273</v>
      </c>
      <c r="G157" s="2" t="s">
        <v>191</v>
      </c>
      <c r="H157" s="2">
        <v>157</v>
      </c>
      <c r="I157" s="2">
        <v>89.5</v>
      </c>
      <c r="J157" s="2" t="s">
        <v>19</v>
      </c>
      <c r="K157" s="2" t="s">
        <v>19</v>
      </c>
      <c r="L157" s="2" t="s">
        <v>107</v>
      </c>
      <c r="M157" s="3">
        <v>44409</v>
      </c>
      <c r="N157" s="4">
        <f>Table1_3[[#This Row],[Admission_Date]]</f>
        <v>44409</v>
      </c>
      <c r="O157" s="5">
        <f>Table1_3[[#This Row],[Admission_Date]]</f>
        <v>44409</v>
      </c>
      <c r="P157" s="2">
        <v>4837.6000000000004</v>
      </c>
      <c r="Q157" s="2">
        <f t="shared" si="2"/>
        <v>83</v>
      </c>
      <c r="R157" s="2" t="s">
        <v>2527</v>
      </c>
      <c r="S157" s="2">
        <v>36.30978944379082</v>
      </c>
      <c r="T157" s="2" t="s">
        <v>2522</v>
      </c>
      <c r="U157" t="str">
        <f>INDEX(Table2[Doctor_Name],MATCH(Table1_3[[#This Row],[Department]],Table2[Department],0))</f>
        <v>Dr. Anita Sanchez</v>
      </c>
    </row>
    <row r="158" spans="1:21" x14ac:dyDescent="0.35">
      <c r="A158" s="2" t="s">
        <v>44</v>
      </c>
      <c r="B158" s="2" t="s">
        <v>2405</v>
      </c>
      <c r="C158" s="2">
        <v>11</v>
      </c>
      <c r="D158" s="2" t="s">
        <v>138</v>
      </c>
      <c r="E158" s="2" t="s">
        <v>45</v>
      </c>
      <c r="F158" s="2" t="s">
        <v>79</v>
      </c>
      <c r="G158" s="2" t="s">
        <v>36</v>
      </c>
      <c r="H158" s="2">
        <v>172</v>
      </c>
      <c r="I158" s="2">
        <v>89</v>
      </c>
      <c r="J158" s="2" t="s">
        <v>65</v>
      </c>
      <c r="K158" s="2" t="s">
        <v>19</v>
      </c>
      <c r="L158" s="2" t="s">
        <v>107</v>
      </c>
      <c r="M158" s="3">
        <v>44579</v>
      </c>
      <c r="N158" s="4">
        <f>Table1_3[[#This Row],[Admission_Date]]</f>
        <v>44579</v>
      </c>
      <c r="O158" s="5">
        <f>Table1_3[[#This Row],[Admission_Date]]</f>
        <v>44579</v>
      </c>
      <c r="P158" s="2">
        <v>2708.54</v>
      </c>
      <c r="Q158" s="2">
        <f t="shared" si="2"/>
        <v>83</v>
      </c>
      <c r="R158" s="2" t="s">
        <v>2521</v>
      </c>
      <c r="S158" s="2">
        <v>30.08382909680909</v>
      </c>
      <c r="T158" s="2" t="s">
        <v>2522</v>
      </c>
      <c r="U158" t="str">
        <f>INDEX(Table2[Doctor_Name],MATCH(Table1_3[[#This Row],[Department]],Table2[Department],0))</f>
        <v>Dr. Anita Sanchez</v>
      </c>
    </row>
    <row r="159" spans="1:21" x14ac:dyDescent="0.35">
      <c r="A159" s="2" t="s">
        <v>44</v>
      </c>
      <c r="B159" s="2" t="s">
        <v>1113</v>
      </c>
      <c r="C159" s="2">
        <v>27</v>
      </c>
      <c r="D159" s="2" t="s">
        <v>138</v>
      </c>
      <c r="E159" s="2" t="s">
        <v>111</v>
      </c>
      <c r="F159" s="2" t="s">
        <v>17</v>
      </c>
      <c r="G159" s="2" t="s">
        <v>40</v>
      </c>
      <c r="H159" s="2">
        <v>165</v>
      </c>
      <c r="I159" s="2">
        <v>59.9</v>
      </c>
      <c r="J159" s="2" t="s">
        <v>65</v>
      </c>
      <c r="K159" s="2" t="s">
        <v>65</v>
      </c>
      <c r="L159" s="2" t="s">
        <v>69</v>
      </c>
      <c r="M159" s="3">
        <v>44308</v>
      </c>
      <c r="N159" s="4">
        <f>Table1_3[[#This Row],[Admission_Date]]</f>
        <v>44308</v>
      </c>
      <c r="O159" s="5">
        <f>Table1_3[[#This Row],[Admission_Date]]</f>
        <v>44308</v>
      </c>
      <c r="P159" s="2">
        <v>23332.63</v>
      </c>
      <c r="Q159" s="2">
        <f t="shared" si="2"/>
        <v>107</v>
      </c>
      <c r="R159" s="2" t="s">
        <v>2523</v>
      </c>
      <c r="S159" s="2">
        <v>22.001836547291095</v>
      </c>
      <c r="T159" s="2" t="s">
        <v>1567</v>
      </c>
      <c r="U159" t="str">
        <f>INDEX(Table2[Doctor_Name],MATCH(Table1_3[[#This Row],[Department]],Table2[Department],0))</f>
        <v>Dr. Vikram Wang</v>
      </c>
    </row>
    <row r="160" spans="1:21" x14ac:dyDescent="0.35">
      <c r="A160" s="2" t="s">
        <v>1004</v>
      </c>
      <c r="B160" s="2" t="s">
        <v>1283</v>
      </c>
      <c r="C160" s="2">
        <v>13</v>
      </c>
      <c r="D160" s="2" t="s">
        <v>138</v>
      </c>
      <c r="E160" s="2" t="s">
        <v>146</v>
      </c>
      <c r="F160" s="2" t="s">
        <v>17</v>
      </c>
      <c r="G160" s="2" t="s">
        <v>36</v>
      </c>
      <c r="H160" s="2">
        <v>184.4</v>
      </c>
      <c r="I160" s="2">
        <v>115.7</v>
      </c>
      <c r="J160" s="2" t="s">
        <v>19</v>
      </c>
      <c r="K160" s="2" t="s">
        <v>36</v>
      </c>
      <c r="L160" s="2" t="s">
        <v>199</v>
      </c>
      <c r="M160" s="3">
        <v>45169</v>
      </c>
      <c r="N160" s="4">
        <f>Table1_3[[#This Row],[Admission_Date]]</f>
        <v>45169</v>
      </c>
      <c r="O160" s="5">
        <f>Table1_3[[#This Row],[Admission_Date]]</f>
        <v>45169</v>
      </c>
      <c r="P160" s="2">
        <v>44141.87</v>
      </c>
      <c r="Q160" s="2">
        <f t="shared" si="2"/>
        <v>34</v>
      </c>
      <c r="R160" s="2" t="s">
        <v>2521</v>
      </c>
      <c r="S160" s="2">
        <v>34.026049190432943</v>
      </c>
      <c r="T160" s="2" t="s">
        <v>2522</v>
      </c>
      <c r="U160" t="str">
        <f>INDEX(Table2[Doctor_Name],MATCH(Table1_3[[#This Row],[Department]],Table2[Department],0))</f>
        <v>Dr. Vikram Torres</v>
      </c>
    </row>
    <row r="161" spans="1:21" x14ac:dyDescent="0.35">
      <c r="A161" s="2" t="s">
        <v>912</v>
      </c>
      <c r="B161" s="2" t="s">
        <v>913</v>
      </c>
      <c r="C161" s="2">
        <v>74</v>
      </c>
      <c r="D161" s="2" t="s">
        <v>29</v>
      </c>
      <c r="E161" s="2" t="s">
        <v>119</v>
      </c>
      <c r="F161" s="2" t="s">
        <v>17</v>
      </c>
      <c r="G161" s="2" t="s">
        <v>198</v>
      </c>
      <c r="H161" s="2">
        <v>176</v>
      </c>
      <c r="I161" s="2">
        <v>113</v>
      </c>
      <c r="J161" s="2" t="s">
        <v>19</v>
      </c>
      <c r="K161" s="2" t="s">
        <v>19</v>
      </c>
      <c r="L161" s="2" t="s">
        <v>69</v>
      </c>
      <c r="M161" s="3">
        <v>45088</v>
      </c>
      <c r="N161" s="4">
        <f>Table1_3[[#This Row],[Admission_Date]]</f>
        <v>45088</v>
      </c>
      <c r="O161" s="5">
        <f>Table1_3[[#This Row],[Admission_Date]]</f>
        <v>45088</v>
      </c>
      <c r="P161" s="2">
        <v>49864.83</v>
      </c>
      <c r="Q161" s="2">
        <f t="shared" si="2"/>
        <v>1</v>
      </c>
      <c r="R161" s="2" t="s">
        <v>2525</v>
      </c>
      <c r="S161" s="2">
        <v>36.479855371900825</v>
      </c>
      <c r="T161" s="2" t="s">
        <v>2522</v>
      </c>
      <c r="U161" t="str">
        <f>INDEX(Table2[Doctor_Name],MATCH(Table1_3[[#This Row],[Department]],Table2[Department],0))</f>
        <v>Dr. Vikram Wang</v>
      </c>
    </row>
    <row r="162" spans="1:21" x14ac:dyDescent="0.35">
      <c r="A162" s="2" t="s">
        <v>64</v>
      </c>
      <c r="B162" s="2" t="s">
        <v>499</v>
      </c>
      <c r="C162" s="2">
        <v>71</v>
      </c>
      <c r="D162" s="2" t="s">
        <v>138</v>
      </c>
      <c r="E162" s="2" t="s">
        <v>53</v>
      </c>
      <c r="F162" s="2" t="s">
        <v>2517</v>
      </c>
      <c r="G162" s="2" t="s">
        <v>35</v>
      </c>
      <c r="H162" s="2">
        <v>183</v>
      </c>
      <c r="I162" s="2">
        <v>92.9</v>
      </c>
      <c r="J162" s="2" t="s">
        <v>65</v>
      </c>
      <c r="K162" s="2" t="s">
        <v>19</v>
      </c>
      <c r="L162" s="2" t="s">
        <v>69</v>
      </c>
      <c r="M162" s="3">
        <v>44500</v>
      </c>
      <c r="N162" s="4">
        <f>Table1_3[[#This Row],[Admission_Date]]</f>
        <v>44500</v>
      </c>
      <c r="O162" s="5">
        <f>Table1_3[[#This Row],[Admission_Date]]</f>
        <v>44500</v>
      </c>
      <c r="P162" s="2">
        <v>29602.74</v>
      </c>
      <c r="Q162" s="2">
        <f t="shared" si="2"/>
        <v>107</v>
      </c>
      <c r="R162" s="2" t="s">
        <v>2525</v>
      </c>
      <c r="S162" s="2">
        <v>27.740452088745556</v>
      </c>
      <c r="T162" s="2" t="s">
        <v>2526</v>
      </c>
      <c r="U162" t="str">
        <f>INDEX(Table2[Doctor_Name],MATCH(Table1_3[[#This Row],[Department]],Table2[Department],0))</f>
        <v>Dr. Vikram Wang</v>
      </c>
    </row>
    <row r="163" spans="1:21" x14ac:dyDescent="0.35">
      <c r="A163" s="2" t="s">
        <v>228</v>
      </c>
      <c r="B163" s="2" t="s">
        <v>229</v>
      </c>
      <c r="C163" s="2">
        <v>4</v>
      </c>
      <c r="D163" s="2" t="s">
        <v>138</v>
      </c>
      <c r="E163" s="2" t="s">
        <v>230</v>
      </c>
      <c r="F163" s="2" t="s">
        <v>17</v>
      </c>
      <c r="G163" s="2" t="s">
        <v>35</v>
      </c>
      <c r="H163" s="2">
        <v>193</v>
      </c>
      <c r="I163" s="2">
        <v>103</v>
      </c>
      <c r="J163" s="2" t="s">
        <v>36</v>
      </c>
      <c r="K163" s="2" t="s">
        <v>65</v>
      </c>
      <c r="L163" s="2" t="s">
        <v>103</v>
      </c>
      <c r="M163" s="3">
        <v>44878</v>
      </c>
      <c r="N163" s="4">
        <f>Table1_3[[#This Row],[Admission_Date]]</f>
        <v>44878</v>
      </c>
      <c r="O163" s="5">
        <f>Table1_3[[#This Row],[Admission_Date]]</f>
        <v>44878</v>
      </c>
      <c r="P163" s="2">
        <v>2119.35</v>
      </c>
      <c r="Q163" s="2">
        <f t="shared" si="2"/>
        <v>31</v>
      </c>
      <c r="R163" s="2" t="s">
        <v>2521</v>
      </c>
      <c r="S163" s="2">
        <v>27.651749040242692</v>
      </c>
      <c r="T163" s="2" t="s">
        <v>2526</v>
      </c>
      <c r="U163" t="str">
        <f>INDEX(Table2[Doctor_Name],MATCH(Table1_3[[#This Row],[Department]],Table2[Department],0))</f>
        <v>Dr. Suresh Johnson</v>
      </c>
    </row>
    <row r="164" spans="1:21" x14ac:dyDescent="0.35">
      <c r="A164" s="2" t="s">
        <v>228</v>
      </c>
      <c r="B164" s="2" t="s">
        <v>1063</v>
      </c>
      <c r="C164" s="2">
        <v>45</v>
      </c>
      <c r="D164" s="2" t="s">
        <v>29</v>
      </c>
      <c r="E164" s="2" t="s">
        <v>53</v>
      </c>
      <c r="F164" s="2" t="s">
        <v>2518</v>
      </c>
      <c r="G164" s="2" t="s">
        <v>54</v>
      </c>
      <c r="H164" s="2">
        <v>183.7</v>
      </c>
      <c r="I164" s="2">
        <v>76.3</v>
      </c>
      <c r="J164" s="2" t="s">
        <v>19</v>
      </c>
      <c r="K164" s="2" t="s">
        <v>19</v>
      </c>
      <c r="L164" s="2" t="s">
        <v>86</v>
      </c>
      <c r="M164" s="3">
        <v>44875</v>
      </c>
      <c r="N164" s="4">
        <f>Table1_3[[#This Row],[Admission_Date]]</f>
        <v>44875</v>
      </c>
      <c r="O164" s="5">
        <f>Table1_3[[#This Row],[Admission_Date]]</f>
        <v>44875</v>
      </c>
      <c r="P164" s="2">
        <v>12260.18</v>
      </c>
      <c r="Q164" s="2">
        <f t="shared" si="2"/>
        <v>35</v>
      </c>
      <c r="R164" s="2" t="s">
        <v>2523</v>
      </c>
      <c r="S164" s="2">
        <v>22.610294825798494</v>
      </c>
      <c r="T164" s="2" t="s">
        <v>1567</v>
      </c>
      <c r="U164" t="str">
        <f>INDEX(Table2[Doctor_Name],MATCH(Table1_3[[#This Row],[Department]],Table2[Department],0))</f>
        <v>Dr. Meera Torres</v>
      </c>
    </row>
    <row r="165" spans="1:21" x14ac:dyDescent="0.35">
      <c r="A165" s="2" t="s">
        <v>1346</v>
      </c>
      <c r="B165" s="2" t="s">
        <v>1347</v>
      </c>
      <c r="C165" s="2">
        <v>36</v>
      </c>
      <c r="D165" s="2" t="s">
        <v>138</v>
      </c>
      <c r="E165" s="2" t="s">
        <v>16</v>
      </c>
      <c r="F165" s="2" t="s">
        <v>134</v>
      </c>
      <c r="G165" s="2" t="s">
        <v>35</v>
      </c>
      <c r="H165" s="2">
        <v>180</v>
      </c>
      <c r="I165" s="2">
        <v>68.900000000000006</v>
      </c>
      <c r="J165" s="2" t="s">
        <v>36</v>
      </c>
      <c r="K165" s="2" t="s">
        <v>36</v>
      </c>
      <c r="L165" s="2" t="s">
        <v>69</v>
      </c>
      <c r="M165" s="3">
        <v>44581</v>
      </c>
      <c r="N165" s="4">
        <f>Table1_3[[#This Row],[Admission_Date]]</f>
        <v>44581</v>
      </c>
      <c r="O165" s="5">
        <f>Table1_3[[#This Row],[Admission_Date]]</f>
        <v>44581</v>
      </c>
      <c r="P165" s="2">
        <v>10963.83</v>
      </c>
      <c r="Q165" s="2">
        <f t="shared" si="2"/>
        <v>107</v>
      </c>
      <c r="R165" s="2" t="s">
        <v>2523</v>
      </c>
      <c r="S165" s="2">
        <v>21.265432098765434</v>
      </c>
      <c r="T165" s="2" t="s">
        <v>1567</v>
      </c>
      <c r="U165" t="str">
        <f>INDEX(Table2[Doctor_Name],MATCH(Table1_3[[#This Row],[Department]],Table2[Department],0))</f>
        <v>Dr. Vikram Wang</v>
      </c>
    </row>
    <row r="166" spans="1:21" x14ac:dyDescent="0.35">
      <c r="A166" s="2" t="s">
        <v>1318</v>
      </c>
      <c r="B166" s="2" t="s">
        <v>1319</v>
      </c>
      <c r="C166" s="2">
        <v>40</v>
      </c>
      <c r="D166" s="2" t="s">
        <v>138</v>
      </c>
      <c r="E166" s="2" t="s">
        <v>78</v>
      </c>
      <c r="F166" s="2" t="s">
        <v>2518</v>
      </c>
      <c r="G166" s="2" t="s">
        <v>208</v>
      </c>
      <c r="H166" s="2">
        <v>183</v>
      </c>
      <c r="I166" s="2">
        <v>119</v>
      </c>
      <c r="J166" s="2" t="s">
        <v>19</v>
      </c>
      <c r="K166" s="2" t="s">
        <v>65</v>
      </c>
      <c r="L166" s="2" t="s">
        <v>69</v>
      </c>
      <c r="M166" s="3">
        <v>45131</v>
      </c>
      <c r="N166" s="4">
        <f>Table1_3[[#This Row],[Admission_Date]]</f>
        <v>45131</v>
      </c>
      <c r="O166" s="5">
        <f>Table1_3[[#This Row],[Admission_Date]]</f>
        <v>45131</v>
      </c>
      <c r="P166" s="2">
        <v>45942.54</v>
      </c>
      <c r="Q166" s="2">
        <f t="shared" si="2"/>
        <v>1</v>
      </c>
      <c r="R166" s="2" t="s">
        <v>2523</v>
      </c>
      <c r="S166" s="2">
        <v>35.534055958672994</v>
      </c>
      <c r="T166" s="2" t="s">
        <v>2522</v>
      </c>
      <c r="U166" t="str">
        <f>INDEX(Table2[Doctor_Name],MATCH(Table1_3[[#This Row],[Department]],Table2[Department],0))</f>
        <v>Dr. Vikram Wang</v>
      </c>
    </row>
    <row r="167" spans="1:21" x14ac:dyDescent="0.35">
      <c r="A167" s="2" t="s">
        <v>351</v>
      </c>
      <c r="B167" s="2" t="s">
        <v>352</v>
      </c>
      <c r="C167" s="2">
        <v>4</v>
      </c>
      <c r="D167" s="2" t="s">
        <v>138</v>
      </c>
      <c r="E167" s="2" t="s">
        <v>146</v>
      </c>
      <c r="F167" s="2" t="s">
        <v>36</v>
      </c>
      <c r="G167" s="2" t="s">
        <v>124</v>
      </c>
      <c r="H167" s="2">
        <v>167.5</v>
      </c>
      <c r="I167" s="2">
        <v>71</v>
      </c>
      <c r="J167" s="2" t="s">
        <v>19</v>
      </c>
      <c r="K167" s="2" t="s">
        <v>36</v>
      </c>
      <c r="L167" s="2" t="s">
        <v>199</v>
      </c>
      <c r="M167" s="3">
        <v>44323</v>
      </c>
      <c r="N167" s="4">
        <f>Table1_3[[#This Row],[Admission_Date]]</f>
        <v>44323</v>
      </c>
      <c r="O167" s="5">
        <f>Table1_3[[#This Row],[Admission_Date]]</f>
        <v>44323</v>
      </c>
      <c r="P167" s="2">
        <v>0</v>
      </c>
      <c r="Q167" s="2">
        <f t="shared" si="2"/>
        <v>34</v>
      </c>
      <c r="R167" s="2" t="s">
        <v>2521</v>
      </c>
      <c r="S167" s="2">
        <v>25.30630429939853</v>
      </c>
      <c r="T167" s="2" t="s">
        <v>2526</v>
      </c>
      <c r="U167" t="str">
        <f>INDEX(Table2[Doctor_Name],MATCH(Table1_3[[#This Row],[Department]],Table2[Department],0))</f>
        <v>Dr. Vikram Torres</v>
      </c>
    </row>
    <row r="168" spans="1:21" x14ac:dyDescent="0.35">
      <c r="A168" s="2" t="s">
        <v>271</v>
      </c>
      <c r="B168" s="2" t="s">
        <v>272</v>
      </c>
      <c r="C168" s="2">
        <v>35</v>
      </c>
      <c r="D168" s="2" t="s">
        <v>29</v>
      </c>
      <c r="E168" s="2" t="s">
        <v>217</v>
      </c>
      <c r="F168" s="2" t="s">
        <v>273</v>
      </c>
      <c r="G168" s="2" t="s">
        <v>35</v>
      </c>
      <c r="H168" s="2">
        <v>166.8</v>
      </c>
      <c r="I168" s="2">
        <v>52</v>
      </c>
      <c r="J168" s="2" t="s">
        <v>36</v>
      </c>
      <c r="K168" s="2" t="s">
        <v>19</v>
      </c>
      <c r="L168" s="2" t="s">
        <v>226</v>
      </c>
      <c r="M168" s="3">
        <v>44567</v>
      </c>
      <c r="N168" s="4">
        <f>Table1_3[[#This Row],[Admission_Date]]</f>
        <v>44567</v>
      </c>
      <c r="O168" s="5">
        <f>Table1_3[[#This Row],[Admission_Date]]</f>
        <v>44567</v>
      </c>
      <c r="P168" s="2">
        <v>40351.74</v>
      </c>
      <c r="Q168" s="2">
        <f t="shared" si="2"/>
        <v>35</v>
      </c>
      <c r="R168" s="2" t="s">
        <v>2523</v>
      </c>
      <c r="S168" s="2">
        <v>18.690083904099737</v>
      </c>
      <c r="T168" s="2" t="s">
        <v>1567</v>
      </c>
      <c r="U168" t="str">
        <f>INDEX(Table2[Doctor_Name],MATCH(Table1_3[[#This Row],[Department]],Table2[Department],0))</f>
        <v>Dr. Vikram Khan</v>
      </c>
    </row>
    <row r="169" spans="1:21" x14ac:dyDescent="0.35">
      <c r="A169" s="2" t="s">
        <v>1295</v>
      </c>
      <c r="B169" s="2" t="s">
        <v>1296</v>
      </c>
      <c r="C169" s="2">
        <v>28</v>
      </c>
      <c r="D169" s="2" t="s">
        <v>138</v>
      </c>
      <c r="E169" s="2" t="s">
        <v>59</v>
      </c>
      <c r="F169" s="2" t="s">
        <v>2518</v>
      </c>
      <c r="G169" s="2" t="s">
        <v>74</v>
      </c>
      <c r="H169" s="2">
        <v>170</v>
      </c>
      <c r="I169" s="2">
        <v>93.4</v>
      </c>
      <c r="J169" s="2" t="s">
        <v>19</v>
      </c>
      <c r="K169" s="2" t="s">
        <v>36</v>
      </c>
      <c r="L169" s="2" t="s">
        <v>69</v>
      </c>
      <c r="M169" s="3">
        <v>45183</v>
      </c>
      <c r="N169" s="4">
        <f>Table1_3[[#This Row],[Admission_Date]]</f>
        <v>45183</v>
      </c>
      <c r="O169" s="5">
        <f>Table1_3[[#This Row],[Admission_Date]]</f>
        <v>45183</v>
      </c>
      <c r="P169" s="2">
        <v>17146.04</v>
      </c>
      <c r="Q169" s="2">
        <f t="shared" si="2"/>
        <v>107</v>
      </c>
      <c r="R169" s="2" t="s">
        <v>2523</v>
      </c>
      <c r="S169" s="2">
        <v>32.318339100346023</v>
      </c>
      <c r="T169" s="2" t="s">
        <v>2522</v>
      </c>
      <c r="U169" t="str">
        <f>INDEX(Table2[Doctor_Name],MATCH(Table1_3[[#This Row],[Department]],Table2[Department],0))</f>
        <v>Dr. Vikram Wang</v>
      </c>
    </row>
    <row r="170" spans="1:21" x14ac:dyDescent="0.35">
      <c r="A170" s="2" t="s">
        <v>1393</v>
      </c>
      <c r="B170" s="2" t="s">
        <v>2506</v>
      </c>
      <c r="C170" s="2">
        <v>31</v>
      </c>
      <c r="D170" s="2" t="s">
        <v>29</v>
      </c>
      <c r="E170" s="2" t="s">
        <v>119</v>
      </c>
      <c r="F170" s="2" t="s">
        <v>2518</v>
      </c>
      <c r="G170" s="2" t="s">
        <v>191</v>
      </c>
      <c r="H170" s="2">
        <v>191.1</v>
      </c>
      <c r="I170" s="2">
        <v>129.80000000000001</v>
      </c>
      <c r="J170" s="2" t="s">
        <v>65</v>
      </c>
      <c r="K170" s="2" t="s">
        <v>19</v>
      </c>
      <c r="L170" s="2" t="s">
        <v>103</v>
      </c>
      <c r="M170" s="3">
        <v>44269</v>
      </c>
      <c r="N170" s="4">
        <f>Table1_3[[#This Row],[Admission_Date]]</f>
        <v>44269</v>
      </c>
      <c r="O170" s="5">
        <f>Table1_3[[#This Row],[Admission_Date]]</f>
        <v>44269</v>
      </c>
      <c r="P170" s="2">
        <v>35549.410000000003</v>
      </c>
      <c r="Q170" s="2">
        <f t="shared" si="2"/>
        <v>31</v>
      </c>
      <c r="R170" s="2" t="s">
        <v>2523</v>
      </c>
      <c r="S170" s="2">
        <v>35.542937538900759</v>
      </c>
      <c r="T170" s="2" t="s">
        <v>2522</v>
      </c>
      <c r="U170" t="str">
        <f>INDEX(Table2[Doctor_Name],MATCH(Table1_3[[#This Row],[Department]],Table2[Department],0))</f>
        <v>Dr. Suresh Johnson</v>
      </c>
    </row>
    <row r="171" spans="1:21" x14ac:dyDescent="0.35">
      <c r="A171" s="2" t="s">
        <v>368</v>
      </c>
      <c r="B171" s="2" t="s">
        <v>369</v>
      </c>
      <c r="C171" s="2">
        <v>86</v>
      </c>
      <c r="D171" s="2" t="s">
        <v>138</v>
      </c>
      <c r="E171" s="2" t="s">
        <v>78</v>
      </c>
      <c r="F171" s="2" t="s">
        <v>79</v>
      </c>
      <c r="G171" s="2" t="s">
        <v>35</v>
      </c>
      <c r="H171" s="2">
        <v>154.80000000000001</v>
      </c>
      <c r="I171" s="2">
        <v>82.4</v>
      </c>
      <c r="J171" s="2" t="s">
        <v>36</v>
      </c>
      <c r="K171" s="2" t="s">
        <v>19</v>
      </c>
      <c r="L171" s="2" t="s">
        <v>42</v>
      </c>
      <c r="M171" s="3">
        <v>44571</v>
      </c>
      <c r="N171" s="4">
        <f>Table1_3[[#This Row],[Admission_Date]]</f>
        <v>44571</v>
      </c>
      <c r="O171" s="5">
        <f>Table1_3[[#This Row],[Admission_Date]]</f>
        <v>44571</v>
      </c>
      <c r="P171" s="2">
        <v>45029.760000000002</v>
      </c>
      <c r="Q171" s="2">
        <f t="shared" si="2"/>
        <v>11</v>
      </c>
      <c r="R171" s="2" t="s">
        <v>2525</v>
      </c>
      <c r="S171" s="2">
        <v>34.386288217187804</v>
      </c>
      <c r="T171" s="2" t="s">
        <v>2522</v>
      </c>
      <c r="U171" t="str">
        <f>INDEX(Table2[Doctor_Name],MATCH(Table1_3[[#This Row],[Department]],Table2[Department],0))</f>
        <v>Dr. Rahul Nair</v>
      </c>
    </row>
    <row r="172" spans="1:21" x14ac:dyDescent="0.35">
      <c r="A172" s="2" t="s">
        <v>411</v>
      </c>
      <c r="B172" s="2" t="s">
        <v>412</v>
      </c>
      <c r="C172" s="2">
        <v>34</v>
      </c>
      <c r="D172" s="2" t="s">
        <v>52</v>
      </c>
      <c r="E172" s="2" t="s">
        <v>59</v>
      </c>
      <c r="F172" s="2" t="s">
        <v>2517</v>
      </c>
      <c r="G172" s="2" t="s">
        <v>35</v>
      </c>
      <c r="H172" s="2">
        <v>165</v>
      </c>
      <c r="I172" s="2">
        <v>58</v>
      </c>
      <c r="J172" s="2" t="s">
        <v>36</v>
      </c>
      <c r="K172" s="2" t="s">
        <v>19</v>
      </c>
      <c r="L172" s="2" t="s">
        <v>175</v>
      </c>
      <c r="M172" s="3">
        <v>44660</v>
      </c>
      <c r="N172" s="4">
        <f>Table1_3[[#This Row],[Admission_Date]]</f>
        <v>44660</v>
      </c>
      <c r="O172" s="5">
        <f>Table1_3[[#This Row],[Admission_Date]]</f>
        <v>44660</v>
      </c>
      <c r="P172" s="2">
        <v>3176.07</v>
      </c>
      <c r="Q172" s="2">
        <f t="shared" si="2"/>
        <v>38</v>
      </c>
      <c r="R172" s="2" t="s">
        <v>2523</v>
      </c>
      <c r="S172" s="2">
        <v>21.30394857667585</v>
      </c>
      <c r="T172" s="2" t="s">
        <v>1567</v>
      </c>
      <c r="U172" t="str">
        <f>INDEX(Table2[Doctor_Name],MATCH(Table1_3[[#This Row],[Department]],Table2[Department],0))</f>
        <v>Dr. Arvind Wilson</v>
      </c>
    </row>
    <row r="173" spans="1:21" x14ac:dyDescent="0.35">
      <c r="A173" s="2" t="s">
        <v>1115</v>
      </c>
      <c r="B173" s="2" t="s">
        <v>1116</v>
      </c>
      <c r="C173" s="2">
        <v>19</v>
      </c>
      <c r="D173" s="2" t="s">
        <v>138</v>
      </c>
      <c r="E173" s="2" t="s">
        <v>89</v>
      </c>
      <c r="F173" s="2" t="s">
        <v>120</v>
      </c>
      <c r="G173" s="2" t="s">
        <v>36</v>
      </c>
      <c r="H173" s="2">
        <v>173</v>
      </c>
      <c r="I173" s="2">
        <v>56</v>
      </c>
      <c r="J173" s="2" t="s">
        <v>19</v>
      </c>
      <c r="K173" s="2" t="s">
        <v>65</v>
      </c>
      <c r="L173" s="2" t="s">
        <v>107</v>
      </c>
      <c r="M173" s="3">
        <v>44625</v>
      </c>
      <c r="N173" s="4">
        <f>Table1_3[[#This Row],[Admission_Date]]</f>
        <v>44625</v>
      </c>
      <c r="O173" s="5">
        <f>Table1_3[[#This Row],[Admission_Date]]</f>
        <v>44625</v>
      </c>
      <c r="P173" s="2">
        <v>29025.81</v>
      </c>
      <c r="Q173" s="2">
        <f t="shared" si="2"/>
        <v>83</v>
      </c>
      <c r="R173" s="2" t="s">
        <v>2527</v>
      </c>
      <c r="S173" s="2">
        <v>18.710949246550168</v>
      </c>
      <c r="T173" s="2" t="s">
        <v>1567</v>
      </c>
      <c r="U173" t="str">
        <f>INDEX(Table2[Doctor_Name],MATCH(Table1_3[[#This Row],[Department]],Table2[Department],0))</f>
        <v>Dr. Anita Sanchez</v>
      </c>
    </row>
    <row r="174" spans="1:21" x14ac:dyDescent="0.35">
      <c r="A174" s="2" t="s">
        <v>408</v>
      </c>
      <c r="B174" s="2" t="s">
        <v>409</v>
      </c>
      <c r="C174" s="2">
        <v>55</v>
      </c>
      <c r="D174" s="2" t="s">
        <v>138</v>
      </c>
      <c r="E174" s="2" t="s">
        <v>45</v>
      </c>
      <c r="F174" s="2" t="s">
        <v>273</v>
      </c>
      <c r="G174" s="2" t="s">
        <v>208</v>
      </c>
      <c r="H174" s="2">
        <v>175.8</v>
      </c>
      <c r="I174" s="2">
        <v>108</v>
      </c>
      <c r="J174" s="2" t="s">
        <v>19</v>
      </c>
      <c r="K174" s="2" t="s">
        <v>36</v>
      </c>
      <c r="L174" s="2" t="s">
        <v>69</v>
      </c>
      <c r="M174" s="3">
        <v>44706</v>
      </c>
      <c r="N174" s="4">
        <f>Table1_3[[#This Row],[Admission_Date]]</f>
        <v>44706</v>
      </c>
      <c r="O174" s="5">
        <f>Table1_3[[#This Row],[Admission_Date]]</f>
        <v>44706</v>
      </c>
      <c r="P174" s="2">
        <v>34829.47</v>
      </c>
      <c r="Q174" s="2">
        <f t="shared" si="2"/>
        <v>107</v>
      </c>
      <c r="R174" s="2" t="s">
        <v>2523</v>
      </c>
      <c r="S174" s="2">
        <v>34.945077985765707</v>
      </c>
      <c r="T174" s="2" t="s">
        <v>2522</v>
      </c>
      <c r="U174" t="str">
        <f>INDEX(Table2[Doctor_Name],MATCH(Table1_3[[#This Row],[Department]],Table2[Department],0))</f>
        <v>Dr. Vikram Wang</v>
      </c>
    </row>
    <row r="175" spans="1:21" x14ac:dyDescent="0.35">
      <c r="A175" s="2" t="s">
        <v>835</v>
      </c>
      <c r="B175" s="2" t="s">
        <v>2445</v>
      </c>
      <c r="C175" s="2">
        <v>39</v>
      </c>
      <c r="D175" s="2" t="s">
        <v>29</v>
      </c>
      <c r="E175" s="2" t="s">
        <v>230</v>
      </c>
      <c r="F175" s="2" t="s">
        <v>17</v>
      </c>
      <c r="G175" s="2" t="s">
        <v>60</v>
      </c>
      <c r="H175" s="2">
        <v>191</v>
      </c>
      <c r="I175" s="2">
        <v>84</v>
      </c>
      <c r="J175" s="2" t="s">
        <v>19</v>
      </c>
      <c r="K175" s="2" t="s">
        <v>19</v>
      </c>
      <c r="L175" s="2" t="s">
        <v>69</v>
      </c>
      <c r="M175" s="3">
        <v>44664</v>
      </c>
      <c r="N175" s="4">
        <f>Table1_3[[#This Row],[Admission_Date]]</f>
        <v>44664</v>
      </c>
      <c r="O175" s="5">
        <f>Table1_3[[#This Row],[Admission_Date]]</f>
        <v>44664</v>
      </c>
      <c r="P175" s="2">
        <v>36494.86</v>
      </c>
      <c r="Q175" s="2">
        <f t="shared" si="2"/>
        <v>107</v>
      </c>
      <c r="R175" s="2" t="s">
        <v>2523</v>
      </c>
      <c r="S175" s="2">
        <v>23.025684602944001</v>
      </c>
      <c r="T175" s="2" t="s">
        <v>1567</v>
      </c>
      <c r="U175" t="str">
        <f>INDEX(Table2[Doctor_Name],MATCH(Table1_3[[#This Row],[Department]],Table2[Department],0))</f>
        <v>Dr. Vikram Wang</v>
      </c>
    </row>
    <row r="176" spans="1:21" x14ac:dyDescent="0.35">
      <c r="A176" s="2" t="s">
        <v>357</v>
      </c>
      <c r="B176" s="2" t="s">
        <v>358</v>
      </c>
      <c r="C176" s="2">
        <v>5</v>
      </c>
      <c r="D176" s="2" t="s">
        <v>29</v>
      </c>
      <c r="E176" s="2" t="s">
        <v>24</v>
      </c>
      <c r="F176" s="2" t="s">
        <v>273</v>
      </c>
      <c r="G176" s="2" t="s">
        <v>36</v>
      </c>
      <c r="H176" s="2">
        <v>191.4</v>
      </c>
      <c r="I176" s="2">
        <v>99</v>
      </c>
      <c r="J176" s="2" t="s">
        <v>19</v>
      </c>
      <c r="K176" s="2" t="s">
        <v>36</v>
      </c>
      <c r="L176" s="2" t="s">
        <v>69</v>
      </c>
      <c r="M176" s="3">
        <v>45021</v>
      </c>
      <c r="N176" s="4">
        <f>Table1_3[[#This Row],[Admission_Date]]</f>
        <v>45021</v>
      </c>
      <c r="O176" s="5">
        <f>Table1_3[[#This Row],[Admission_Date]]</f>
        <v>45021</v>
      </c>
      <c r="P176" s="2">
        <v>19322.560000000001</v>
      </c>
      <c r="Q176" s="2">
        <f t="shared" si="2"/>
        <v>107</v>
      </c>
      <c r="R176" s="2" t="s">
        <v>2521</v>
      </c>
      <c r="S176" s="2">
        <v>27.024105502107876</v>
      </c>
      <c r="T176" s="2" t="s">
        <v>2526</v>
      </c>
      <c r="U176" t="str">
        <f>INDEX(Table2[Doctor_Name],MATCH(Table1_3[[#This Row],[Department]],Table2[Department],0))</f>
        <v>Dr. Vikram Wang</v>
      </c>
    </row>
    <row r="177" spans="1:21" x14ac:dyDescent="0.35">
      <c r="A177" s="2" t="s">
        <v>402</v>
      </c>
      <c r="B177" s="2" t="s">
        <v>403</v>
      </c>
      <c r="C177" s="2">
        <v>85</v>
      </c>
      <c r="D177" s="2" t="s">
        <v>52</v>
      </c>
      <c r="E177" s="2" t="s">
        <v>53</v>
      </c>
      <c r="F177" s="2" t="s">
        <v>17</v>
      </c>
      <c r="G177" s="2" t="s">
        <v>60</v>
      </c>
      <c r="H177" s="2">
        <v>192</v>
      </c>
      <c r="I177" s="2">
        <v>110.6</v>
      </c>
      <c r="J177" s="2" t="s">
        <v>65</v>
      </c>
      <c r="K177" s="2" t="s">
        <v>65</v>
      </c>
      <c r="L177" s="2" t="s">
        <v>226</v>
      </c>
      <c r="M177" s="3">
        <v>44735</v>
      </c>
      <c r="N177" s="4">
        <f>Table1_3[[#This Row],[Admission_Date]]</f>
        <v>44735</v>
      </c>
      <c r="O177" s="5">
        <f>Table1_3[[#This Row],[Admission_Date]]</f>
        <v>44735</v>
      </c>
      <c r="P177" s="2">
        <v>48669.43</v>
      </c>
      <c r="Q177" s="2">
        <f t="shared" si="2"/>
        <v>1</v>
      </c>
      <c r="R177" s="2" t="s">
        <v>2525</v>
      </c>
      <c r="S177" s="2">
        <v>30.002170138888889</v>
      </c>
      <c r="T177" s="2" t="s">
        <v>2522</v>
      </c>
      <c r="U177" t="str">
        <f>INDEX(Table2[Doctor_Name],MATCH(Table1_3[[#This Row],[Department]],Table2[Department],0))</f>
        <v>Dr. Vikram Khan</v>
      </c>
    </row>
    <row r="178" spans="1:21" x14ac:dyDescent="0.35">
      <c r="A178" s="2" t="s">
        <v>948</v>
      </c>
      <c r="B178" s="2" t="s">
        <v>949</v>
      </c>
      <c r="C178" s="2">
        <v>62</v>
      </c>
      <c r="D178" s="2" t="s">
        <v>138</v>
      </c>
      <c r="E178" s="2" t="s">
        <v>130</v>
      </c>
      <c r="F178" s="2" t="s">
        <v>273</v>
      </c>
      <c r="G178" s="2" t="s">
        <v>35</v>
      </c>
      <c r="H178" s="2">
        <v>173.7</v>
      </c>
      <c r="I178" s="2">
        <v>48</v>
      </c>
      <c r="J178" s="2" t="s">
        <v>36</v>
      </c>
      <c r="K178" s="2" t="s">
        <v>36</v>
      </c>
      <c r="L178" s="2" t="s">
        <v>69</v>
      </c>
      <c r="M178" s="3">
        <v>44721</v>
      </c>
      <c r="N178" s="4">
        <f>Table1_3[[#This Row],[Admission_Date]]</f>
        <v>44721</v>
      </c>
      <c r="O178" s="5">
        <f>Table1_3[[#This Row],[Admission_Date]]</f>
        <v>44721</v>
      </c>
      <c r="P178" s="2">
        <v>11942.43</v>
      </c>
      <c r="Q178" s="2">
        <f t="shared" si="2"/>
        <v>107</v>
      </c>
      <c r="R178" s="2" t="s">
        <v>2525</v>
      </c>
      <c r="S178" s="2">
        <v>15.908953061628303</v>
      </c>
      <c r="T178" s="2" t="s">
        <v>2524</v>
      </c>
      <c r="U178" t="str">
        <f>INDEX(Table2[Doctor_Name],MATCH(Table1_3[[#This Row],[Department]],Table2[Department],0))</f>
        <v>Dr. Vikram Wang</v>
      </c>
    </row>
    <row r="179" spans="1:21" x14ac:dyDescent="0.35">
      <c r="A179" s="2" t="s">
        <v>1079</v>
      </c>
      <c r="B179" s="2" t="s">
        <v>1080</v>
      </c>
      <c r="C179" s="2">
        <v>47</v>
      </c>
      <c r="D179" s="2" t="s">
        <v>29</v>
      </c>
      <c r="E179" s="2" t="s">
        <v>146</v>
      </c>
      <c r="F179" s="2" t="s">
        <v>17</v>
      </c>
      <c r="G179" s="2" t="s">
        <v>60</v>
      </c>
      <c r="H179" s="2">
        <v>185</v>
      </c>
      <c r="I179" s="2" t="s">
        <v>2519</v>
      </c>
      <c r="J179" s="2" t="s">
        <v>19</v>
      </c>
      <c r="K179" s="2" t="s">
        <v>36</v>
      </c>
      <c r="L179" s="2" t="s">
        <v>143</v>
      </c>
      <c r="M179" s="3">
        <v>44546</v>
      </c>
      <c r="N179" s="4">
        <f>Table1_3[[#This Row],[Admission_Date]]</f>
        <v>44546</v>
      </c>
      <c r="O179" s="5">
        <f>Table1_3[[#This Row],[Admission_Date]]</f>
        <v>44546</v>
      </c>
      <c r="P179" s="2">
        <v>18197.61</v>
      </c>
      <c r="Q179" s="2">
        <f t="shared" si="2"/>
        <v>35</v>
      </c>
      <c r="R179" s="2" t="s">
        <v>2523</v>
      </c>
      <c r="S179" s="2" t="s">
        <v>36</v>
      </c>
      <c r="T179" s="2" t="s">
        <v>36</v>
      </c>
      <c r="U179" t="str">
        <f>INDEX(Table2[Doctor_Name],MATCH(Table1_3[[#This Row],[Department]],Table2[Department],0))</f>
        <v>Dr. Neha Liu</v>
      </c>
    </row>
    <row r="180" spans="1:21" x14ac:dyDescent="0.35">
      <c r="A180" s="2" t="s">
        <v>1076</v>
      </c>
      <c r="B180" s="2" t="s">
        <v>1077</v>
      </c>
      <c r="C180" s="2">
        <v>52</v>
      </c>
      <c r="D180" s="2" t="s">
        <v>29</v>
      </c>
      <c r="E180" s="2" t="s">
        <v>230</v>
      </c>
      <c r="F180" s="2" t="s">
        <v>273</v>
      </c>
      <c r="G180" s="2" t="s">
        <v>36</v>
      </c>
      <c r="H180" s="2">
        <v>150.5</v>
      </c>
      <c r="I180" s="2">
        <v>112</v>
      </c>
      <c r="J180" s="2" t="s">
        <v>19</v>
      </c>
      <c r="K180" s="2" t="s">
        <v>36</v>
      </c>
      <c r="L180" s="2" t="s">
        <v>55</v>
      </c>
      <c r="M180" s="3">
        <v>44317</v>
      </c>
      <c r="N180" s="4">
        <f>Table1_3[[#This Row],[Admission_Date]]</f>
        <v>44317</v>
      </c>
      <c r="O180" s="5">
        <f>Table1_3[[#This Row],[Admission_Date]]</f>
        <v>44317</v>
      </c>
      <c r="P180" s="2">
        <v>5633.8</v>
      </c>
      <c r="Q180" s="2">
        <f t="shared" si="2"/>
        <v>42</v>
      </c>
      <c r="R180" s="2" t="s">
        <v>2523</v>
      </c>
      <c r="S180" s="2">
        <v>49.447577841304188</v>
      </c>
      <c r="T180" s="2" t="s">
        <v>2522</v>
      </c>
      <c r="U180" t="str">
        <f>INDEX(Table2[Doctor_Name],MATCH(Table1_3[[#This Row],[Department]],Table2[Department],0))</f>
        <v>Dr. Sunita Sanchez</v>
      </c>
    </row>
    <row r="181" spans="1:21" x14ac:dyDescent="0.35">
      <c r="A181" s="2" t="s">
        <v>1485</v>
      </c>
      <c r="B181" s="2" t="s">
        <v>842</v>
      </c>
      <c r="C181" s="2">
        <v>79</v>
      </c>
      <c r="D181" s="2" t="s">
        <v>29</v>
      </c>
      <c r="E181" s="2" t="s">
        <v>146</v>
      </c>
      <c r="F181" s="2" t="s">
        <v>17</v>
      </c>
      <c r="G181" s="2" t="s">
        <v>160</v>
      </c>
      <c r="H181" s="2">
        <v>150.6</v>
      </c>
      <c r="I181" s="2">
        <v>45.7</v>
      </c>
      <c r="J181" s="2" t="s">
        <v>19</v>
      </c>
      <c r="K181" s="2" t="s">
        <v>36</v>
      </c>
      <c r="L181" s="2" t="s">
        <v>199</v>
      </c>
      <c r="M181" s="3">
        <v>45271</v>
      </c>
      <c r="N181" s="4">
        <f>Table1_3[[#This Row],[Admission_Date]]</f>
        <v>45271</v>
      </c>
      <c r="O181" s="5">
        <f>Table1_3[[#This Row],[Admission_Date]]</f>
        <v>45271</v>
      </c>
      <c r="P181" s="2">
        <v>29044.13</v>
      </c>
      <c r="Q181" s="2">
        <f t="shared" si="2"/>
        <v>34</v>
      </c>
      <c r="R181" s="2" t="s">
        <v>2525</v>
      </c>
      <c r="S181" s="2">
        <v>20.149591981785122</v>
      </c>
      <c r="T181" s="2" t="s">
        <v>1567</v>
      </c>
      <c r="U181" t="str">
        <f>INDEX(Table2[Doctor_Name],MATCH(Table1_3[[#This Row],[Department]],Table2[Department],0))</f>
        <v>Dr. Vikram Torres</v>
      </c>
    </row>
    <row r="182" spans="1:21" x14ac:dyDescent="0.35">
      <c r="A182" s="2" t="s">
        <v>803</v>
      </c>
      <c r="B182" s="2" t="s">
        <v>804</v>
      </c>
      <c r="C182" s="2">
        <v>13</v>
      </c>
      <c r="D182" s="2" t="s">
        <v>29</v>
      </c>
      <c r="E182" s="2" t="s">
        <v>146</v>
      </c>
      <c r="F182" s="2" t="s">
        <v>2517</v>
      </c>
      <c r="G182" s="2" t="s">
        <v>160</v>
      </c>
      <c r="H182" s="2">
        <v>155.9</v>
      </c>
      <c r="I182" s="2">
        <v>114</v>
      </c>
      <c r="J182" s="2" t="s">
        <v>19</v>
      </c>
      <c r="K182" s="2" t="s">
        <v>36</v>
      </c>
      <c r="L182" s="2" t="s">
        <v>86</v>
      </c>
      <c r="M182" s="3">
        <v>44518</v>
      </c>
      <c r="N182" s="4">
        <f>Table1_3[[#This Row],[Admission_Date]]</f>
        <v>44518</v>
      </c>
      <c r="O182" s="5">
        <f>Table1_3[[#This Row],[Admission_Date]]</f>
        <v>44518</v>
      </c>
      <c r="P182" s="2">
        <v>42517.86</v>
      </c>
      <c r="Q182" s="2">
        <f t="shared" si="2"/>
        <v>35</v>
      </c>
      <c r="R182" s="2" t="s">
        <v>2521</v>
      </c>
      <c r="S182" s="2">
        <v>46.904295898630757</v>
      </c>
      <c r="T182" s="2" t="s">
        <v>2522</v>
      </c>
      <c r="U182" t="str">
        <f>INDEX(Table2[Doctor_Name],MATCH(Table1_3[[#This Row],[Department]],Table2[Department],0))</f>
        <v>Dr. Meera Torres</v>
      </c>
    </row>
    <row r="183" spans="1:21" x14ac:dyDescent="0.35">
      <c r="A183" s="2" t="s">
        <v>1180</v>
      </c>
      <c r="B183" s="2" t="s">
        <v>2489</v>
      </c>
      <c r="C183" s="2">
        <v>7</v>
      </c>
      <c r="D183" s="2" t="s">
        <v>52</v>
      </c>
      <c r="E183" s="2" t="s">
        <v>130</v>
      </c>
      <c r="F183" s="2" t="s">
        <v>2518</v>
      </c>
      <c r="G183" s="2" t="s">
        <v>102</v>
      </c>
      <c r="H183" s="2">
        <v>179</v>
      </c>
      <c r="I183" s="2">
        <v>80.3</v>
      </c>
      <c r="J183" s="2" t="s">
        <v>65</v>
      </c>
      <c r="K183" s="2" t="s">
        <v>65</v>
      </c>
      <c r="L183" s="2" t="s">
        <v>69</v>
      </c>
      <c r="M183" s="3">
        <v>45215</v>
      </c>
      <c r="N183" s="4">
        <f>Table1_3[[#This Row],[Admission_Date]]</f>
        <v>45215</v>
      </c>
      <c r="O183" s="5">
        <f>Table1_3[[#This Row],[Admission_Date]]</f>
        <v>45215</v>
      </c>
      <c r="P183" s="2">
        <v>32841.96</v>
      </c>
      <c r="Q183" s="2">
        <f t="shared" si="2"/>
        <v>107</v>
      </c>
      <c r="R183" s="2" t="s">
        <v>2521</v>
      </c>
      <c r="S183" s="2">
        <v>25.061639774039513</v>
      </c>
      <c r="T183" s="2" t="s">
        <v>2526</v>
      </c>
      <c r="U183" t="str">
        <f>INDEX(Table2[Doctor_Name],MATCH(Table1_3[[#This Row],[Department]],Table2[Department],0))</f>
        <v>Dr. Vikram Wang</v>
      </c>
    </row>
    <row r="184" spans="1:21" x14ac:dyDescent="0.35">
      <c r="A184" s="2" t="s">
        <v>1456</v>
      </c>
      <c r="B184" s="2" t="s">
        <v>1457</v>
      </c>
      <c r="C184" s="2">
        <v>82</v>
      </c>
      <c r="D184" s="2" t="s">
        <v>29</v>
      </c>
      <c r="E184" s="2" t="s">
        <v>78</v>
      </c>
      <c r="F184" s="2" t="s">
        <v>2518</v>
      </c>
      <c r="G184" s="2" t="s">
        <v>54</v>
      </c>
      <c r="H184" s="2">
        <v>192.5</v>
      </c>
      <c r="I184" s="2">
        <v>113.5</v>
      </c>
      <c r="J184" s="2" t="s">
        <v>65</v>
      </c>
      <c r="K184" s="2" t="s">
        <v>19</v>
      </c>
      <c r="L184" s="2" t="s">
        <v>42</v>
      </c>
      <c r="M184" s="3">
        <v>45165</v>
      </c>
      <c r="N184" s="4">
        <f>Table1_3[[#This Row],[Admission_Date]]</f>
        <v>45165</v>
      </c>
      <c r="O184" s="5">
        <f>Table1_3[[#This Row],[Admission_Date]]</f>
        <v>45165</v>
      </c>
      <c r="P184" s="2">
        <v>33029.78</v>
      </c>
      <c r="Q184" s="2">
        <f t="shared" si="2"/>
        <v>45</v>
      </c>
      <c r="R184" s="2" t="s">
        <v>2525</v>
      </c>
      <c r="S184" s="2">
        <v>30.629111148591665</v>
      </c>
      <c r="T184" s="2" t="s">
        <v>2522</v>
      </c>
      <c r="U184" t="str">
        <f>INDEX(Table2[Doctor_Name],MATCH(Table1_3[[#This Row],[Department]],Table2[Department],0))</f>
        <v>Dr. Rahul Nair</v>
      </c>
    </row>
    <row r="185" spans="1:21" x14ac:dyDescent="0.35">
      <c r="A185" s="2" t="s">
        <v>1438</v>
      </c>
      <c r="B185" s="2" t="s">
        <v>1439</v>
      </c>
      <c r="C185" s="2">
        <v>38</v>
      </c>
      <c r="D185" s="2" t="s">
        <v>52</v>
      </c>
      <c r="E185" s="2" t="s">
        <v>78</v>
      </c>
      <c r="F185" s="2" t="s">
        <v>17</v>
      </c>
      <c r="G185" s="2" t="s">
        <v>25</v>
      </c>
      <c r="H185" s="2">
        <v>189.8</v>
      </c>
      <c r="I185" s="2">
        <v>104.5</v>
      </c>
      <c r="J185" s="2" t="s">
        <v>65</v>
      </c>
      <c r="K185" s="2" t="s">
        <v>19</v>
      </c>
      <c r="L185" s="2" t="s">
        <v>2537</v>
      </c>
      <c r="M185" s="3">
        <v>44598</v>
      </c>
      <c r="N185" s="4">
        <f>Table1_3[[#This Row],[Admission_Date]]</f>
        <v>44598</v>
      </c>
      <c r="O185" s="5">
        <f>Table1_3[[#This Row],[Admission_Date]]</f>
        <v>44598</v>
      </c>
      <c r="P185" s="2">
        <v>6476.92</v>
      </c>
      <c r="Q185" s="2">
        <f t="shared" si="2"/>
        <v>30</v>
      </c>
      <c r="R185" s="2" t="s">
        <v>2523</v>
      </c>
      <c r="S185" s="2">
        <v>29.008406608475891</v>
      </c>
      <c r="T185" s="2" t="s">
        <v>2526</v>
      </c>
      <c r="U185" t="str">
        <f>INDEX(Table2[Doctor_Name],MATCH(Table1_3[[#This Row],[Department]],Table2[Department],0))</f>
        <v>Dr. Sunita Zhang</v>
      </c>
    </row>
    <row r="186" spans="1:21" x14ac:dyDescent="0.35">
      <c r="A186" s="2" t="s">
        <v>1251</v>
      </c>
      <c r="B186" s="2" t="s">
        <v>2491</v>
      </c>
      <c r="C186" s="2">
        <v>82</v>
      </c>
      <c r="D186" s="2" t="s">
        <v>138</v>
      </c>
      <c r="E186" s="2" t="s">
        <v>146</v>
      </c>
      <c r="F186" s="2" t="s">
        <v>134</v>
      </c>
      <c r="G186" s="2" t="s">
        <v>36</v>
      </c>
      <c r="H186" s="2">
        <v>157</v>
      </c>
      <c r="I186" s="2">
        <v>40</v>
      </c>
      <c r="J186" s="2" t="s">
        <v>19</v>
      </c>
      <c r="K186" s="2" t="s">
        <v>19</v>
      </c>
      <c r="L186" s="2" t="s">
        <v>199</v>
      </c>
      <c r="M186" s="3">
        <v>45186</v>
      </c>
      <c r="N186" s="4">
        <f>Table1_3[[#This Row],[Admission_Date]]</f>
        <v>45186</v>
      </c>
      <c r="O186" s="5">
        <f>Table1_3[[#This Row],[Admission_Date]]</f>
        <v>45186</v>
      </c>
      <c r="P186" s="2">
        <v>39163.53</v>
      </c>
      <c r="Q186" s="2">
        <f t="shared" si="2"/>
        <v>34</v>
      </c>
      <c r="R186" s="2" t="s">
        <v>2525</v>
      </c>
      <c r="S186" s="2">
        <v>16.227838857560144</v>
      </c>
      <c r="T186" s="2" t="s">
        <v>2524</v>
      </c>
      <c r="U186" t="str">
        <f>INDEX(Table2[Doctor_Name],MATCH(Table1_3[[#This Row],[Department]],Table2[Department],0))</f>
        <v>Dr. Vikram Torres</v>
      </c>
    </row>
    <row r="187" spans="1:21" x14ac:dyDescent="0.35">
      <c r="A187" s="2" t="s">
        <v>512</v>
      </c>
      <c r="B187" s="2" t="s">
        <v>513</v>
      </c>
      <c r="C187" s="2">
        <v>42</v>
      </c>
      <c r="D187" s="2" t="s">
        <v>52</v>
      </c>
      <c r="E187" s="2" t="s">
        <v>45</v>
      </c>
      <c r="F187" s="2" t="s">
        <v>36</v>
      </c>
      <c r="G187" s="2" t="s">
        <v>124</v>
      </c>
      <c r="H187" s="2">
        <v>153</v>
      </c>
      <c r="I187" s="2">
        <v>70.900000000000006</v>
      </c>
      <c r="J187" s="2" t="s">
        <v>65</v>
      </c>
      <c r="K187" s="2" t="s">
        <v>19</v>
      </c>
      <c r="L187" s="2" t="s">
        <v>69</v>
      </c>
      <c r="M187" s="3">
        <v>45042</v>
      </c>
      <c r="N187" s="4">
        <f>Table1_3[[#This Row],[Admission_Date]]</f>
        <v>45042</v>
      </c>
      <c r="O187" s="5">
        <f>Table1_3[[#This Row],[Admission_Date]]</f>
        <v>45042</v>
      </c>
      <c r="P187" s="2">
        <v>35150.71</v>
      </c>
      <c r="Q187" s="2">
        <f t="shared" si="2"/>
        <v>107</v>
      </c>
      <c r="R187" s="2" t="s">
        <v>2523</v>
      </c>
      <c r="S187" s="2">
        <v>30.287496262121408</v>
      </c>
      <c r="T187" s="2" t="s">
        <v>2522</v>
      </c>
      <c r="U187" t="str">
        <f>INDEX(Table2[Doctor_Name],MATCH(Table1_3[[#This Row],[Department]],Table2[Department],0))</f>
        <v>Dr. Vikram Wang</v>
      </c>
    </row>
    <row r="188" spans="1:21" x14ac:dyDescent="0.35">
      <c r="A188" s="2" t="s">
        <v>248</v>
      </c>
      <c r="B188" s="2" t="s">
        <v>249</v>
      </c>
      <c r="C188" s="2">
        <v>80</v>
      </c>
      <c r="D188" s="2" t="s">
        <v>138</v>
      </c>
      <c r="E188" s="2" t="s">
        <v>59</v>
      </c>
      <c r="F188" s="2" t="s">
        <v>17</v>
      </c>
      <c r="G188" s="2" t="s">
        <v>191</v>
      </c>
      <c r="H188" s="2">
        <v>195</v>
      </c>
      <c r="I188" s="2">
        <v>102.5</v>
      </c>
      <c r="J188" s="2" t="s">
        <v>36</v>
      </c>
      <c r="K188" s="2" t="s">
        <v>65</v>
      </c>
      <c r="L188" s="2" t="s">
        <v>42</v>
      </c>
      <c r="M188" s="3">
        <v>44918</v>
      </c>
      <c r="N188" s="4">
        <f>Table1_3[[#This Row],[Admission_Date]]</f>
        <v>44918</v>
      </c>
      <c r="O188" s="5">
        <f>Table1_3[[#This Row],[Admission_Date]]</f>
        <v>44918</v>
      </c>
      <c r="P188" s="2">
        <v>24278.31</v>
      </c>
      <c r="Q188" s="2">
        <f t="shared" si="2"/>
        <v>45</v>
      </c>
      <c r="R188" s="2" t="s">
        <v>2525</v>
      </c>
      <c r="S188" s="2">
        <v>26.955950032873112</v>
      </c>
      <c r="T188" s="2" t="s">
        <v>2526</v>
      </c>
      <c r="U188" t="str">
        <f>INDEX(Table2[Doctor_Name],MATCH(Table1_3[[#This Row],[Department]],Table2[Department],0))</f>
        <v>Dr. Rahul Nair</v>
      </c>
    </row>
    <row r="189" spans="1:21" x14ac:dyDescent="0.35">
      <c r="A189" s="2" t="s">
        <v>846</v>
      </c>
      <c r="B189" s="2" t="s">
        <v>490</v>
      </c>
      <c r="C189" s="2">
        <v>2</v>
      </c>
      <c r="D189" s="2" t="s">
        <v>52</v>
      </c>
      <c r="E189" s="2" t="s">
        <v>45</v>
      </c>
      <c r="F189" s="2" t="s">
        <v>273</v>
      </c>
      <c r="G189" s="2" t="s">
        <v>102</v>
      </c>
      <c r="H189" s="2">
        <v>157</v>
      </c>
      <c r="I189" s="2">
        <v>110.7</v>
      </c>
      <c r="J189" s="2" t="s">
        <v>36</v>
      </c>
      <c r="K189" s="2" t="s">
        <v>19</v>
      </c>
      <c r="L189" s="2" t="s">
        <v>69</v>
      </c>
      <c r="M189" s="3">
        <v>44324</v>
      </c>
      <c r="N189" s="4">
        <f>Table1_3[[#This Row],[Admission_Date]]</f>
        <v>44324</v>
      </c>
      <c r="O189" s="5">
        <f>Table1_3[[#This Row],[Admission_Date]]</f>
        <v>44324</v>
      </c>
      <c r="P189" s="2">
        <v>39325.69</v>
      </c>
      <c r="Q189" s="2">
        <f t="shared" si="2"/>
        <v>107</v>
      </c>
      <c r="R189" s="2" t="s">
        <v>2521</v>
      </c>
      <c r="S189" s="2">
        <v>44.910544038297701</v>
      </c>
      <c r="T189" s="2" t="s">
        <v>2522</v>
      </c>
      <c r="U189" t="str">
        <f>INDEX(Table2[Doctor_Name],MATCH(Table1_3[[#This Row],[Department]],Table2[Department],0))</f>
        <v>Dr. Vikram Wang</v>
      </c>
    </row>
    <row r="190" spans="1:21" x14ac:dyDescent="0.35">
      <c r="A190" s="2" t="s">
        <v>605</v>
      </c>
      <c r="B190" s="2" t="s">
        <v>606</v>
      </c>
      <c r="C190" s="2">
        <v>72</v>
      </c>
      <c r="D190" s="2" t="s">
        <v>138</v>
      </c>
      <c r="E190" s="2" t="s">
        <v>130</v>
      </c>
      <c r="F190" s="2" t="s">
        <v>2518</v>
      </c>
      <c r="G190" s="2" t="s">
        <v>112</v>
      </c>
      <c r="H190" s="2">
        <v>166.6</v>
      </c>
      <c r="I190" s="2">
        <v>44.2</v>
      </c>
      <c r="J190" s="2" t="s">
        <v>65</v>
      </c>
      <c r="K190" s="2" t="s">
        <v>19</v>
      </c>
      <c r="L190" s="2" t="s">
        <v>42</v>
      </c>
      <c r="M190" s="3">
        <v>44630</v>
      </c>
      <c r="N190" s="4">
        <f>Table1_3[[#This Row],[Admission_Date]]</f>
        <v>44630</v>
      </c>
      <c r="O190" s="5">
        <f>Table1_3[[#This Row],[Admission_Date]]</f>
        <v>44630</v>
      </c>
      <c r="P190" s="2">
        <v>3163.21</v>
      </c>
      <c r="Q190" s="2">
        <f t="shared" si="2"/>
        <v>45</v>
      </c>
      <c r="R190" s="2" t="s">
        <v>2525</v>
      </c>
      <c r="S190" s="2">
        <v>15.924737241835512</v>
      </c>
      <c r="T190" s="2" t="s">
        <v>2524</v>
      </c>
      <c r="U190" t="str">
        <f>INDEX(Table2[Doctor_Name],MATCH(Table1_3[[#This Row],[Department]],Table2[Department],0))</f>
        <v>Dr. Rahul Nair</v>
      </c>
    </row>
    <row r="191" spans="1:21" x14ac:dyDescent="0.35">
      <c r="A191" s="2" t="s">
        <v>1090</v>
      </c>
      <c r="B191" s="2" t="s">
        <v>163</v>
      </c>
      <c r="C191" s="2">
        <v>83</v>
      </c>
      <c r="D191" s="2" t="s">
        <v>138</v>
      </c>
      <c r="E191" s="2" t="s">
        <v>130</v>
      </c>
      <c r="F191" s="2" t="s">
        <v>2518</v>
      </c>
      <c r="G191" s="2" t="s">
        <v>36</v>
      </c>
      <c r="H191" s="2">
        <v>182</v>
      </c>
      <c r="I191" s="2">
        <v>101</v>
      </c>
      <c r="J191" s="2" t="s">
        <v>19</v>
      </c>
      <c r="K191" s="2" t="s">
        <v>36</v>
      </c>
      <c r="L191" s="2" t="s">
        <v>175</v>
      </c>
      <c r="M191" s="3">
        <v>44236</v>
      </c>
      <c r="N191" s="4">
        <f>Table1_3[[#This Row],[Admission_Date]]</f>
        <v>44236</v>
      </c>
      <c r="O191" s="5">
        <f>Table1_3[[#This Row],[Admission_Date]]</f>
        <v>44236</v>
      </c>
      <c r="P191" s="2">
        <v>2511.39</v>
      </c>
      <c r="Q191" s="2">
        <f t="shared" si="2"/>
        <v>38</v>
      </c>
      <c r="R191" s="2" t="s">
        <v>2525</v>
      </c>
      <c r="S191" s="2">
        <v>30.491486535442576</v>
      </c>
      <c r="T191" s="2" t="s">
        <v>2522</v>
      </c>
      <c r="U191" t="str">
        <f>INDEX(Table2[Doctor_Name],MATCH(Table1_3[[#This Row],[Department]],Table2[Department],0))</f>
        <v>Dr. Arvind Wilson</v>
      </c>
    </row>
    <row r="192" spans="1:21" x14ac:dyDescent="0.35">
      <c r="A192" s="2" t="s">
        <v>313</v>
      </c>
      <c r="B192" s="2" t="s">
        <v>314</v>
      </c>
      <c r="C192" s="2">
        <v>20</v>
      </c>
      <c r="D192" s="2" t="s">
        <v>29</v>
      </c>
      <c r="E192" s="2" t="s">
        <v>89</v>
      </c>
      <c r="F192" s="2" t="s">
        <v>17</v>
      </c>
      <c r="G192" s="2" t="s">
        <v>124</v>
      </c>
      <c r="H192" s="2">
        <v>171.7</v>
      </c>
      <c r="I192" s="2">
        <v>91.5</v>
      </c>
      <c r="J192" s="2" t="s">
        <v>65</v>
      </c>
      <c r="K192" s="2" t="s">
        <v>36</v>
      </c>
      <c r="L192" s="2" t="s">
        <v>107</v>
      </c>
      <c r="M192" s="3">
        <v>45273</v>
      </c>
      <c r="N192" s="4">
        <f>Table1_3[[#This Row],[Admission_Date]]</f>
        <v>45273</v>
      </c>
      <c r="O192" s="5">
        <f>Table1_3[[#This Row],[Admission_Date]]</f>
        <v>45273</v>
      </c>
      <c r="P192" s="2">
        <v>47870.89</v>
      </c>
      <c r="Q192" s="2">
        <f t="shared" si="2"/>
        <v>1</v>
      </c>
      <c r="R192" s="2" t="s">
        <v>2527</v>
      </c>
      <c r="S192" s="2">
        <v>31.037054851464802</v>
      </c>
      <c r="T192" s="2" t="s">
        <v>2522</v>
      </c>
      <c r="U192" t="str">
        <f>INDEX(Table2[Doctor_Name],MATCH(Table1_3[[#This Row],[Department]],Table2[Department],0))</f>
        <v>Dr. Anita Sanchez</v>
      </c>
    </row>
    <row r="193" spans="1:21" x14ac:dyDescent="0.35">
      <c r="A193" s="2" t="s">
        <v>806</v>
      </c>
      <c r="B193" s="2" t="s">
        <v>807</v>
      </c>
      <c r="C193" s="2">
        <v>28</v>
      </c>
      <c r="D193" s="2" t="s">
        <v>29</v>
      </c>
      <c r="E193" s="2" t="s">
        <v>24</v>
      </c>
      <c r="F193" s="2" t="s">
        <v>17</v>
      </c>
      <c r="G193" s="2" t="s">
        <v>102</v>
      </c>
      <c r="H193" s="2">
        <v>175</v>
      </c>
      <c r="I193" s="2">
        <v>114</v>
      </c>
      <c r="J193" s="2" t="s">
        <v>65</v>
      </c>
      <c r="K193" s="2" t="s">
        <v>36</v>
      </c>
      <c r="L193" s="2" t="s">
        <v>107</v>
      </c>
      <c r="M193" s="3">
        <v>45109</v>
      </c>
      <c r="N193" s="4">
        <f>Table1_3[[#This Row],[Admission_Date]]</f>
        <v>45109</v>
      </c>
      <c r="O193" s="5">
        <f>Table1_3[[#This Row],[Admission_Date]]</f>
        <v>45109</v>
      </c>
      <c r="P193" s="2">
        <v>45272.57</v>
      </c>
      <c r="Q193" s="2">
        <f t="shared" si="2"/>
        <v>2</v>
      </c>
      <c r="R193" s="2" t="s">
        <v>2523</v>
      </c>
      <c r="S193" s="2">
        <v>37.224489795918366</v>
      </c>
      <c r="T193" s="2" t="s">
        <v>2522</v>
      </c>
      <c r="U193" t="str">
        <f>INDEX(Table2[Doctor_Name],MATCH(Table1_3[[#This Row],[Department]],Table2[Department],0))</f>
        <v>Dr. Anita Sanchez</v>
      </c>
    </row>
    <row r="194" spans="1:21" x14ac:dyDescent="0.35">
      <c r="A194" s="2" t="s">
        <v>1253</v>
      </c>
      <c r="B194" s="2" t="s">
        <v>1254</v>
      </c>
      <c r="C194" s="2">
        <v>15</v>
      </c>
      <c r="D194" s="2" t="s">
        <v>29</v>
      </c>
      <c r="E194" s="2" t="s">
        <v>53</v>
      </c>
      <c r="F194" s="2" t="s">
        <v>79</v>
      </c>
      <c r="G194" s="2" t="s">
        <v>35</v>
      </c>
      <c r="H194" s="2">
        <v>190.9</v>
      </c>
      <c r="I194" s="2">
        <v>85.8</v>
      </c>
      <c r="J194" s="2" t="s">
        <v>19</v>
      </c>
      <c r="K194" s="2" t="s">
        <v>19</v>
      </c>
      <c r="L194" s="2" t="s">
        <v>86</v>
      </c>
      <c r="M194" s="3">
        <v>44591</v>
      </c>
      <c r="N194" s="4">
        <f>Table1_3[[#This Row],[Admission_Date]]</f>
        <v>44591</v>
      </c>
      <c r="O194" s="5">
        <f>Table1_3[[#This Row],[Admission_Date]]</f>
        <v>44591</v>
      </c>
      <c r="P194" s="2">
        <v>25937.79</v>
      </c>
      <c r="Q194" s="2">
        <f t="shared" ref="Q194:Q257" si="3">SUMPRODUCT(($L$2:$L$5000=L194)*($O$2:$O$5000&gt;P194))+1</f>
        <v>35</v>
      </c>
      <c r="R194" s="2" t="s">
        <v>2521</v>
      </c>
      <c r="S194" s="2">
        <v>23.543738806090964</v>
      </c>
      <c r="T194" s="2" t="s">
        <v>1567</v>
      </c>
      <c r="U194" t="str">
        <f>INDEX(Table2[Doctor_Name],MATCH(Table1_3[[#This Row],[Department]],Table2[Department],0))</f>
        <v>Dr. Meera Torres</v>
      </c>
    </row>
    <row r="195" spans="1:21" x14ac:dyDescent="0.35">
      <c r="A195" s="2" t="s">
        <v>701</v>
      </c>
      <c r="B195" s="2" t="s">
        <v>807</v>
      </c>
      <c r="C195" s="2">
        <v>86</v>
      </c>
      <c r="D195" s="2" t="s">
        <v>29</v>
      </c>
      <c r="E195" s="2" t="s">
        <v>130</v>
      </c>
      <c r="F195" s="2" t="s">
        <v>2518</v>
      </c>
      <c r="G195" s="2" t="s">
        <v>35</v>
      </c>
      <c r="H195" s="2">
        <v>184</v>
      </c>
      <c r="I195" s="2">
        <v>103.2</v>
      </c>
      <c r="J195" s="2" t="s">
        <v>36</v>
      </c>
      <c r="K195" s="2" t="s">
        <v>65</v>
      </c>
      <c r="L195" s="2" t="s">
        <v>55</v>
      </c>
      <c r="M195" s="3">
        <v>44511</v>
      </c>
      <c r="N195" s="4">
        <f>Table1_3[[#This Row],[Admission_Date]]</f>
        <v>44511</v>
      </c>
      <c r="O195" s="5">
        <f>Table1_3[[#This Row],[Admission_Date]]</f>
        <v>44511</v>
      </c>
      <c r="P195" s="2">
        <v>23231.65</v>
      </c>
      <c r="Q195" s="2">
        <f t="shared" si="3"/>
        <v>42</v>
      </c>
      <c r="R195" s="2" t="s">
        <v>2525</v>
      </c>
      <c r="S195" s="2">
        <v>30.482041587901701</v>
      </c>
      <c r="T195" s="2" t="s">
        <v>2522</v>
      </c>
      <c r="U195" t="str">
        <f>INDEX(Table2[Doctor_Name],MATCH(Table1_3[[#This Row],[Department]],Table2[Department],0))</f>
        <v>Dr. Sunita Sanchez</v>
      </c>
    </row>
    <row r="196" spans="1:21" x14ac:dyDescent="0.35">
      <c r="A196" s="2" t="s">
        <v>809</v>
      </c>
      <c r="B196" s="2" t="s">
        <v>2455</v>
      </c>
      <c r="C196" s="2">
        <v>34</v>
      </c>
      <c r="D196" s="2" t="s">
        <v>29</v>
      </c>
      <c r="E196" s="2" t="s">
        <v>45</v>
      </c>
      <c r="F196" s="2" t="s">
        <v>2517</v>
      </c>
      <c r="G196" s="2" t="s">
        <v>54</v>
      </c>
      <c r="H196" s="2">
        <v>182</v>
      </c>
      <c r="I196" s="2">
        <v>88</v>
      </c>
      <c r="J196" s="2" t="s">
        <v>36</v>
      </c>
      <c r="K196" s="2" t="s">
        <v>65</v>
      </c>
      <c r="L196" s="2" t="s">
        <v>69</v>
      </c>
      <c r="M196" s="3">
        <v>44345</v>
      </c>
      <c r="N196" s="4">
        <f>Table1_3[[#This Row],[Admission_Date]]</f>
        <v>44345</v>
      </c>
      <c r="O196" s="5">
        <f>Table1_3[[#This Row],[Admission_Date]]</f>
        <v>44345</v>
      </c>
      <c r="P196" s="2">
        <v>46438.36</v>
      </c>
      <c r="Q196" s="2">
        <f t="shared" si="3"/>
        <v>1</v>
      </c>
      <c r="R196" s="2" t="s">
        <v>2523</v>
      </c>
      <c r="S196" s="2">
        <v>26.566839753652939</v>
      </c>
      <c r="T196" s="2" t="s">
        <v>2526</v>
      </c>
      <c r="U196" t="str">
        <f>INDEX(Table2[Doctor_Name],MATCH(Table1_3[[#This Row],[Department]],Table2[Department],0))</f>
        <v>Dr. Vikram Wang</v>
      </c>
    </row>
    <row r="197" spans="1:21" x14ac:dyDescent="0.35">
      <c r="A197" s="2" t="s">
        <v>626</v>
      </c>
      <c r="B197" s="2" t="s">
        <v>627</v>
      </c>
      <c r="C197" s="2">
        <v>51</v>
      </c>
      <c r="D197" s="2" t="s">
        <v>138</v>
      </c>
      <c r="E197" s="2" t="s">
        <v>146</v>
      </c>
      <c r="F197" s="2" t="s">
        <v>273</v>
      </c>
      <c r="G197" s="2" t="s">
        <v>160</v>
      </c>
      <c r="H197" s="2">
        <v>175.3</v>
      </c>
      <c r="I197" s="2">
        <v>116.5</v>
      </c>
      <c r="J197" s="2" t="s">
        <v>36</v>
      </c>
      <c r="K197" s="2" t="s">
        <v>19</v>
      </c>
      <c r="L197" s="2" t="s">
        <v>107</v>
      </c>
      <c r="M197" s="3">
        <v>45018</v>
      </c>
      <c r="N197" s="4">
        <f>Table1_3[[#This Row],[Admission_Date]]</f>
        <v>45018</v>
      </c>
      <c r="O197" s="5">
        <f>Table1_3[[#This Row],[Admission_Date]]</f>
        <v>45018</v>
      </c>
      <c r="P197" s="2">
        <v>27899.45</v>
      </c>
      <c r="Q197" s="2">
        <f t="shared" si="3"/>
        <v>83</v>
      </c>
      <c r="R197" s="2" t="s">
        <v>2523</v>
      </c>
      <c r="S197" s="2">
        <v>37.910725285868018</v>
      </c>
      <c r="T197" s="2" t="s">
        <v>2522</v>
      </c>
      <c r="U197" t="str">
        <f>INDEX(Table2[Doctor_Name],MATCH(Table1_3[[#This Row],[Department]],Table2[Department],0))</f>
        <v>Dr. Anita Sanchez</v>
      </c>
    </row>
    <row r="198" spans="1:21" x14ac:dyDescent="0.35">
      <c r="A198" s="2" t="s">
        <v>1365</v>
      </c>
      <c r="B198" s="2" t="s">
        <v>1366</v>
      </c>
      <c r="C198" s="2">
        <v>43</v>
      </c>
      <c r="D198" s="2" t="s">
        <v>138</v>
      </c>
      <c r="E198" s="2" t="s">
        <v>89</v>
      </c>
      <c r="F198" s="2" t="s">
        <v>2517</v>
      </c>
      <c r="G198" s="2" t="s">
        <v>198</v>
      </c>
      <c r="H198" s="2">
        <v>188.8</v>
      </c>
      <c r="I198" s="2">
        <v>80.599999999999994</v>
      </c>
      <c r="J198" s="2" t="s">
        <v>36</v>
      </c>
      <c r="K198" s="2" t="s">
        <v>65</v>
      </c>
      <c r="L198" s="2" t="s">
        <v>69</v>
      </c>
      <c r="M198" s="3">
        <v>44943</v>
      </c>
      <c r="N198" s="4">
        <f>Table1_3[[#This Row],[Admission_Date]]</f>
        <v>44943</v>
      </c>
      <c r="O198" s="5">
        <f>Table1_3[[#This Row],[Admission_Date]]</f>
        <v>44943</v>
      </c>
      <c r="P198" s="2">
        <v>47953.62</v>
      </c>
      <c r="Q198" s="2">
        <f t="shared" si="3"/>
        <v>1</v>
      </c>
      <c r="R198" s="2" t="s">
        <v>2523</v>
      </c>
      <c r="S198" s="2">
        <v>22.611587905774197</v>
      </c>
      <c r="T198" s="2" t="s">
        <v>1567</v>
      </c>
      <c r="U198" t="str">
        <f>INDEX(Table2[Doctor_Name],MATCH(Table1_3[[#This Row],[Department]],Table2[Department],0))</f>
        <v>Dr. Vikram Wang</v>
      </c>
    </row>
    <row r="199" spans="1:21" x14ac:dyDescent="0.35">
      <c r="A199" s="2" t="s">
        <v>856</v>
      </c>
      <c r="B199" s="2" t="s">
        <v>857</v>
      </c>
      <c r="C199" s="2">
        <v>87</v>
      </c>
      <c r="D199" s="2" t="s">
        <v>138</v>
      </c>
      <c r="E199" s="2" t="s">
        <v>24</v>
      </c>
      <c r="F199" s="2" t="s">
        <v>36</v>
      </c>
      <c r="G199" s="2" t="s">
        <v>60</v>
      </c>
      <c r="H199" s="2">
        <v>179</v>
      </c>
      <c r="I199" s="2">
        <v>56</v>
      </c>
      <c r="J199" s="2" t="s">
        <v>19</v>
      </c>
      <c r="K199" s="2" t="s">
        <v>19</v>
      </c>
      <c r="L199" s="2" t="s">
        <v>86</v>
      </c>
      <c r="M199" s="3">
        <v>44744</v>
      </c>
      <c r="N199" s="4">
        <f>Table1_3[[#This Row],[Admission_Date]]</f>
        <v>44744</v>
      </c>
      <c r="O199" s="5">
        <f>Table1_3[[#This Row],[Admission_Date]]</f>
        <v>44744</v>
      </c>
      <c r="P199" s="2">
        <v>36810.46</v>
      </c>
      <c r="Q199" s="2">
        <f t="shared" si="3"/>
        <v>35</v>
      </c>
      <c r="R199" s="2" t="s">
        <v>2525</v>
      </c>
      <c r="S199" s="2">
        <v>17.477606816266658</v>
      </c>
      <c r="T199" s="2" t="s">
        <v>2524</v>
      </c>
      <c r="U199" t="str">
        <f>INDEX(Table2[Doctor_Name],MATCH(Table1_3[[#This Row],[Department]],Table2[Department],0))</f>
        <v>Dr. Meera Torres</v>
      </c>
    </row>
    <row r="200" spans="1:21" x14ac:dyDescent="0.35">
      <c r="A200" s="2" t="s">
        <v>1108</v>
      </c>
      <c r="B200" s="2" t="s">
        <v>568</v>
      </c>
      <c r="C200" s="2">
        <v>76</v>
      </c>
      <c r="D200" s="2" t="s">
        <v>138</v>
      </c>
      <c r="E200" s="2" t="s">
        <v>146</v>
      </c>
      <c r="F200" s="2" t="s">
        <v>273</v>
      </c>
      <c r="G200" s="2" t="s">
        <v>18</v>
      </c>
      <c r="H200" s="2">
        <v>169.4</v>
      </c>
      <c r="I200" s="2">
        <v>60.1</v>
      </c>
      <c r="J200" s="2" t="s">
        <v>19</v>
      </c>
      <c r="K200" s="2" t="s">
        <v>65</v>
      </c>
      <c r="L200" s="2" t="s">
        <v>175</v>
      </c>
      <c r="M200" s="3">
        <v>45271</v>
      </c>
      <c r="N200" s="4">
        <f>Table1_3[[#This Row],[Admission_Date]]</f>
        <v>45271</v>
      </c>
      <c r="O200" s="5">
        <f>Table1_3[[#This Row],[Admission_Date]]</f>
        <v>45271</v>
      </c>
      <c r="P200" s="2">
        <v>20140.87</v>
      </c>
      <c r="Q200" s="2">
        <f t="shared" si="3"/>
        <v>38</v>
      </c>
      <c r="R200" s="2" t="s">
        <v>2525</v>
      </c>
      <c r="S200" s="2">
        <v>20.943422789510588</v>
      </c>
      <c r="T200" s="2" t="s">
        <v>1567</v>
      </c>
      <c r="U200" t="str">
        <f>INDEX(Table2[Doctor_Name],MATCH(Table1_3[[#This Row],[Department]],Table2[Department],0))</f>
        <v>Dr. Arvind Wilson</v>
      </c>
    </row>
    <row r="201" spans="1:21" x14ac:dyDescent="0.35">
      <c r="A201" s="2" t="s">
        <v>1313</v>
      </c>
      <c r="B201" s="2" t="s">
        <v>624</v>
      </c>
      <c r="C201" s="2">
        <v>21</v>
      </c>
      <c r="D201" s="2" t="s">
        <v>29</v>
      </c>
      <c r="E201" s="2" t="s">
        <v>115</v>
      </c>
      <c r="F201" s="2" t="s">
        <v>17</v>
      </c>
      <c r="G201" s="2" t="s">
        <v>295</v>
      </c>
      <c r="H201" s="2">
        <v>149</v>
      </c>
      <c r="I201" s="2">
        <v>84</v>
      </c>
      <c r="J201" s="2" t="s">
        <v>19</v>
      </c>
      <c r="K201" s="2" t="s">
        <v>65</v>
      </c>
      <c r="L201" s="2" t="s">
        <v>226</v>
      </c>
      <c r="M201" s="3">
        <v>44284</v>
      </c>
      <c r="N201" s="4">
        <f>Table1_3[[#This Row],[Admission_Date]]</f>
        <v>44284</v>
      </c>
      <c r="O201" s="5">
        <f>Table1_3[[#This Row],[Admission_Date]]</f>
        <v>44284</v>
      </c>
      <c r="P201" s="2">
        <v>10735.32</v>
      </c>
      <c r="Q201" s="2">
        <f t="shared" si="3"/>
        <v>35</v>
      </c>
      <c r="R201" s="2" t="s">
        <v>2527</v>
      </c>
      <c r="S201" s="2">
        <v>37.83613350749966</v>
      </c>
      <c r="T201" s="2" t="s">
        <v>2522</v>
      </c>
      <c r="U201" t="str">
        <f>INDEX(Table2[Doctor_Name],MATCH(Table1_3[[#This Row],[Department]],Table2[Department],0))</f>
        <v>Dr. Vikram Khan</v>
      </c>
    </row>
    <row r="202" spans="1:21" x14ac:dyDescent="0.35">
      <c r="A202" s="2" t="s">
        <v>425</v>
      </c>
      <c r="B202" s="2" t="s">
        <v>694</v>
      </c>
      <c r="C202" s="2">
        <v>14</v>
      </c>
      <c r="D202" s="2" t="s">
        <v>138</v>
      </c>
      <c r="E202" s="2" t="s">
        <v>78</v>
      </c>
      <c r="F202" s="2" t="s">
        <v>273</v>
      </c>
      <c r="G202" s="2" t="s">
        <v>36</v>
      </c>
      <c r="H202" s="2">
        <v>168</v>
      </c>
      <c r="I202" s="2">
        <v>74</v>
      </c>
      <c r="J202" s="2" t="s">
        <v>19</v>
      </c>
      <c r="K202" s="2" t="s">
        <v>19</v>
      </c>
      <c r="L202" s="2" t="s">
        <v>103</v>
      </c>
      <c r="M202" s="3">
        <v>44596</v>
      </c>
      <c r="N202" s="4">
        <f>Table1_3[[#This Row],[Admission_Date]]</f>
        <v>44596</v>
      </c>
      <c r="O202" s="5">
        <f>Table1_3[[#This Row],[Admission_Date]]</f>
        <v>44596</v>
      </c>
      <c r="P202" s="2">
        <v>20589.189999999999</v>
      </c>
      <c r="Q202" s="2">
        <f t="shared" si="3"/>
        <v>31</v>
      </c>
      <c r="R202" s="2" t="s">
        <v>2521</v>
      </c>
      <c r="S202" s="2">
        <v>26.218820861678008</v>
      </c>
      <c r="T202" s="2" t="s">
        <v>2526</v>
      </c>
      <c r="U202" t="str">
        <f>INDEX(Table2[Doctor_Name],MATCH(Table1_3[[#This Row],[Department]],Table2[Department],0))</f>
        <v>Dr. Suresh Johnson</v>
      </c>
    </row>
    <row r="203" spans="1:21" x14ac:dyDescent="0.35">
      <c r="A203" s="2" t="s">
        <v>419</v>
      </c>
      <c r="B203" s="2" t="s">
        <v>420</v>
      </c>
      <c r="C203" s="2">
        <v>22</v>
      </c>
      <c r="D203" s="2" t="s">
        <v>138</v>
      </c>
      <c r="E203" s="2" t="s">
        <v>45</v>
      </c>
      <c r="F203" s="2" t="s">
        <v>273</v>
      </c>
      <c r="G203" s="2" t="s">
        <v>40</v>
      </c>
      <c r="H203" s="2">
        <v>192.1</v>
      </c>
      <c r="I203" s="2">
        <v>77.3</v>
      </c>
      <c r="J203" s="2" t="s">
        <v>36</v>
      </c>
      <c r="K203" s="2" t="s">
        <v>65</v>
      </c>
      <c r="L203" s="2" t="s">
        <v>31</v>
      </c>
      <c r="M203" s="3">
        <v>45147</v>
      </c>
      <c r="N203" s="4">
        <f>Table1_3[[#This Row],[Admission_Date]]</f>
        <v>45147</v>
      </c>
      <c r="O203" s="5">
        <f>Table1_3[[#This Row],[Admission_Date]]</f>
        <v>45147</v>
      </c>
      <c r="P203" s="2">
        <v>10929.85</v>
      </c>
      <c r="Q203" s="2">
        <f t="shared" si="3"/>
        <v>37</v>
      </c>
      <c r="R203" s="2" t="s">
        <v>2527</v>
      </c>
      <c r="S203" s="2">
        <v>20.947141392662427</v>
      </c>
      <c r="T203" s="2" t="s">
        <v>1567</v>
      </c>
      <c r="U203" t="str">
        <f>INDEX(Table2[Doctor_Name],MATCH(Table1_3[[#This Row],[Department]],Table2[Department],0))</f>
        <v>Dr. Arvind Chen</v>
      </c>
    </row>
    <row r="204" spans="1:21" x14ac:dyDescent="0.35">
      <c r="A204" s="2" t="s">
        <v>1468</v>
      </c>
      <c r="B204" s="2" t="s">
        <v>1360</v>
      </c>
      <c r="C204" s="2">
        <v>81</v>
      </c>
      <c r="D204" s="2" t="s">
        <v>52</v>
      </c>
      <c r="E204" s="2" t="s">
        <v>146</v>
      </c>
      <c r="F204" s="2" t="s">
        <v>17</v>
      </c>
      <c r="G204" s="2" t="s">
        <v>208</v>
      </c>
      <c r="H204" s="2">
        <v>191.1</v>
      </c>
      <c r="I204" s="2">
        <v>91</v>
      </c>
      <c r="J204" s="2" t="s">
        <v>36</v>
      </c>
      <c r="K204" s="2" t="s">
        <v>36</v>
      </c>
      <c r="L204" s="2" t="s">
        <v>143</v>
      </c>
      <c r="M204" s="3">
        <v>44659</v>
      </c>
      <c r="N204" s="4">
        <f>Table1_3[[#This Row],[Admission_Date]]</f>
        <v>44659</v>
      </c>
      <c r="O204" s="5">
        <f>Table1_3[[#This Row],[Admission_Date]]</f>
        <v>44659</v>
      </c>
      <c r="P204" s="2">
        <v>11221.37</v>
      </c>
      <c r="Q204" s="2">
        <f t="shared" si="3"/>
        <v>35</v>
      </c>
      <c r="R204" s="2" t="s">
        <v>2525</v>
      </c>
      <c r="S204" s="2">
        <v>24.91839226533104</v>
      </c>
      <c r="T204" s="2" t="s">
        <v>1567</v>
      </c>
      <c r="U204" t="str">
        <f>INDEX(Table2[Doctor_Name],MATCH(Table1_3[[#This Row],[Department]],Table2[Department],0))</f>
        <v>Dr. Neha Liu</v>
      </c>
    </row>
    <row r="205" spans="1:21" x14ac:dyDescent="0.35">
      <c r="A205" s="2" t="s">
        <v>1492</v>
      </c>
      <c r="B205" s="2" t="s">
        <v>1493</v>
      </c>
      <c r="C205" s="2">
        <v>24</v>
      </c>
      <c r="D205" s="2" t="s">
        <v>52</v>
      </c>
      <c r="E205" s="2" t="s">
        <v>146</v>
      </c>
      <c r="F205" s="2" t="s">
        <v>273</v>
      </c>
      <c r="G205" s="2" t="s">
        <v>90</v>
      </c>
      <c r="H205" s="2">
        <v>162.1</v>
      </c>
      <c r="I205" s="2">
        <v>46.2</v>
      </c>
      <c r="J205" s="2" t="s">
        <v>65</v>
      </c>
      <c r="K205" s="2" t="s">
        <v>19</v>
      </c>
      <c r="L205" s="2" t="s">
        <v>69</v>
      </c>
      <c r="M205" s="3">
        <v>44230</v>
      </c>
      <c r="N205" s="4">
        <f>Table1_3[[#This Row],[Admission_Date]]</f>
        <v>44230</v>
      </c>
      <c r="O205" s="5">
        <f>Table1_3[[#This Row],[Admission_Date]]</f>
        <v>44230</v>
      </c>
      <c r="P205" s="2">
        <v>26374.21</v>
      </c>
      <c r="Q205" s="2">
        <f t="shared" si="3"/>
        <v>107</v>
      </c>
      <c r="R205" s="2" t="s">
        <v>2527</v>
      </c>
      <c r="S205" s="2">
        <v>17.582310521109999</v>
      </c>
      <c r="T205" s="2" t="s">
        <v>2524</v>
      </c>
      <c r="U205" t="str">
        <f>INDEX(Table2[Doctor_Name],MATCH(Table1_3[[#This Row],[Department]],Table2[Department],0))</f>
        <v>Dr. Vikram Wang</v>
      </c>
    </row>
    <row r="206" spans="1:21" x14ac:dyDescent="0.35">
      <c r="A206" s="2" t="s">
        <v>201</v>
      </c>
      <c r="B206" s="2" t="s">
        <v>2414</v>
      </c>
      <c r="C206" s="2">
        <v>77</v>
      </c>
      <c r="D206" s="2" t="s">
        <v>29</v>
      </c>
      <c r="E206" s="2" t="s">
        <v>84</v>
      </c>
      <c r="F206" s="2" t="s">
        <v>134</v>
      </c>
      <c r="G206" s="2" t="s">
        <v>80</v>
      </c>
      <c r="H206" s="2">
        <v>154</v>
      </c>
      <c r="I206" s="2">
        <v>109.7</v>
      </c>
      <c r="J206" s="2" t="s">
        <v>19</v>
      </c>
      <c r="K206" s="2" t="s">
        <v>19</v>
      </c>
      <c r="L206" s="2" t="s">
        <v>107</v>
      </c>
      <c r="M206" s="3">
        <v>44285</v>
      </c>
      <c r="N206" s="4">
        <f>Table1_3[[#This Row],[Admission_Date]]</f>
        <v>44285</v>
      </c>
      <c r="O206" s="5">
        <f>Table1_3[[#This Row],[Admission_Date]]</f>
        <v>44285</v>
      </c>
      <c r="P206" s="2">
        <v>26725.919999999998</v>
      </c>
      <c r="Q206" s="2">
        <f t="shared" si="3"/>
        <v>83</v>
      </c>
      <c r="R206" s="2" t="s">
        <v>2525</v>
      </c>
      <c r="S206" s="2">
        <v>46.255692359588465</v>
      </c>
      <c r="T206" s="2" t="s">
        <v>2522</v>
      </c>
      <c r="U206" t="str">
        <f>INDEX(Table2[Doctor_Name],MATCH(Table1_3[[#This Row],[Department]],Table2[Department],0))</f>
        <v>Dr. Anita Sanchez</v>
      </c>
    </row>
    <row r="207" spans="1:21" x14ac:dyDescent="0.35">
      <c r="A207" s="2" t="s">
        <v>526</v>
      </c>
      <c r="B207" s="2" t="s">
        <v>157</v>
      </c>
      <c r="C207" s="2">
        <v>90</v>
      </c>
      <c r="D207" s="2" t="s">
        <v>52</v>
      </c>
      <c r="E207" s="2" t="s">
        <v>45</v>
      </c>
      <c r="F207" s="2" t="s">
        <v>36</v>
      </c>
      <c r="G207" s="2" t="s">
        <v>208</v>
      </c>
      <c r="H207" s="2">
        <v>175</v>
      </c>
      <c r="I207" s="2">
        <v>118.9</v>
      </c>
      <c r="J207" s="2" t="s">
        <v>19</v>
      </c>
      <c r="K207" s="2" t="s">
        <v>65</v>
      </c>
      <c r="L207" s="2" t="s">
        <v>69</v>
      </c>
      <c r="M207" s="3">
        <v>44211</v>
      </c>
      <c r="N207" s="4">
        <f>Table1_3[[#This Row],[Admission_Date]]</f>
        <v>44211</v>
      </c>
      <c r="O207" s="5">
        <f>Table1_3[[#This Row],[Admission_Date]]</f>
        <v>44211</v>
      </c>
      <c r="P207" s="2">
        <v>26365.759999999998</v>
      </c>
      <c r="Q207" s="2">
        <f t="shared" si="3"/>
        <v>107</v>
      </c>
      <c r="R207" s="2" t="s">
        <v>2525</v>
      </c>
      <c r="S207" s="2">
        <v>38.824489795918367</v>
      </c>
      <c r="T207" s="2" t="s">
        <v>2522</v>
      </c>
      <c r="U207" t="str">
        <f>INDEX(Table2[Doctor_Name],MATCH(Table1_3[[#This Row],[Department]],Table2[Department],0))</f>
        <v>Dr. Vikram Wang</v>
      </c>
    </row>
    <row r="208" spans="1:21" x14ac:dyDescent="0.35">
      <c r="A208" s="2" t="s">
        <v>864</v>
      </c>
      <c r="B208" s="2" t="s">
        <v>865</v>
      </c>
      <c r="C208" s="2">
        <v>84</v>
      </c>
      <c r="D208" s="2" t="s">
        <v>52</v>
      </c>
      <c r="E208" s="2" t="s">
        <v>53</v>
      </c>
      <c r="F208" s="2" t="s">
        <v>273</v>
      </c>
      <c r="G208" s="2" t="s">
        <v>35</v>
      </c>
      <c r="H208" s="2">
        <v>168</v>
      </c>
      <c r="I208" s="2">
        <v>76</v>
      </c>
      <c r="J208" s="2" t="s">
        <v>65</v>
      </c>
      <c r="K208" s="2" t="s">
        <v>19</v>
      </c>
      <c r="L208" s="2" t="s">
        <v>42</v>
      </c>
      <c r="M208" s="3">
        <v>45185</v>
      </c>
      <c r="N208" s="4">
        <f>Table1_3[[#This Row],[Admission_Date]]</f>
        <v>45185</v>
      </c>
      <c r="O208" s="5">
        <f>Table1_3[[#This Row],[Admission_Date]]</f>
        <v>45185</v>
      </c>
      <c r="P208" s="2">
        <v>18825.54</v>
      </c>
      <c r="Q208" s="2">
        <f t="shared" si="3"/>
        <v>45</v>
      </c>
      <c r="R208" s="2" t="s">
        <v>2525</v>
      </c>
      <c r="S208" s="2">
        <v>26.927437641723358</v>
      </c>
      <c r="T208" s="2" t="s">
        <v>2526</v>
      </c>
      <c r="U208" t="str">
        <f>INDEX(Table2[Doctor_Name],MATCH(Table1_3[[#This Row],[Department]],Table2[Department],0))</f>
        <v>Dr. Rahul Nair</v>
      </c>
    </row>
    <row r="209" spans="1:21" x14ac:dyDescent="0.35">
      <c r="A209" s="2" t="s">
        <v>928</v>
      </c>
      <c r="B209" s="2" t="s">
        <v>929</v>
      </c>
      <c r="C209" s="2">
        <v>85</v>
      </c>
      <c r="D209" s="2" t="s">
        <v>138</v>
      </c>
      <c r="E209" s="2" t="s">
        <v>111</v>
      </c>
      <c r="F209" s="2" t="s">
        <v>2517</v>
      </c>
      <c r="G209" s="2" t="s">
        <v>60</v>
      </c>
      <c r="H209" s="2">
        <v>190.5</v>
      </c>
      <c r="I209" s="2">
        <v>76.099999999999994</v>
      </c>
      <c r="J209" s="2" t="s">
        <v>19</v>
      </c>
      <c r="K209" s="2" t="s">
        <v>65</v>
      </c>
      <c r="L209" s="2" t="s">
        <v>55</v>
      </c>
      <c r="M209" s="3">
        <v>44303</v>
      </c>
      <c r="N209" s="4">
        <f>Table1_3[[#This Row],[Admission_Date]]</f>
        <v>44303</v>
      </c>
      <c r="O209" s="5">
        <f>Table1_3[[#This Row],[Admission_Date]]</f>
        <v>44303</v>
      </c>
      <c r="P209" s="2">
        <v>19760.63</v>
      </c>
      <c r="Q209" s="2">
        <f t="shared" si="3"/>
        <v>42</v>
      </c>
      <c r="R209" s="2" t="s">
        <v>2525</v>
      </c>
      <c r="S209" s="2">
        <v>20.969819717417213</v>
      </c>
      <c r="T209" s="2" t="s">
        <v>1567</v>
      </c>
      <c r="U209" t="str">
        <f>INDEX(Table2[Doctor_Name],MATCH(Table1_3[[#This Row],[Department]],Table2[Department],0))</f>
        <v>Dr. Sunita Sanchez</v>
      </c>
    </row>
    <row r="210" spans="1:21" x14ac:dyDescent="0.35">
      <c r="A210" s="2" t="s">
        <v>1446</v>
      </c>
      <c r="B210" s="2" t="s">
        <v>1447</v>
      </c>
      <c r="C210" s="2">
        <v>29</v>
      </c>
      <c r="D210" s="2" t="s">
        <v>138</v>
      </c>
      <c r="E210" s="2" t="s">
        <v>45</v>
      </c>
      <c r="F210" s="2" t="s">
        <v>141</v>
      </c>
      <c r="G210" s="2" t="s">
        <v>295</v>
      </c>
      <c r="H210" s="2">
        <v>194.2</v>
      </c>
      <c r="I210" s="2">
        <v>94</v>
      </c>
      <c r="J210" s="2" t="s">
        <v>36</v>
      </c>
      <c r="K210" s="2" t="s">
        <v>65</v>
      </c>
      <c r="L210" s="2" t="s">
        <v>31</v>
      </c>
      <c r="M210" s="3">
        <v>44218</v>
      </c>
      <c r="N210" s="4">
        <f>Table1_3[[#This Row],[Admission_Date]]</f>
        <v>44218</v>
      </c>
      <c r="O210" s="5">
        <f>Table1_3[[#This Row],[Admission_Date]]</f>
        <v>44218</v>
      </c>
      <c r="P210" s="2">
        <v>42603.1</v>
      </c>
      <c r="Q210" s="2">
        <f t="shared" si="3"/>
        <v>37</v>
      </c>
      <c r="R210" s="2" t="s">
        <v>2523</v>
      </c>
      <c r="S210" s="2">
        <v>24.924669164790249</v>
      </c>
      <c r="T210" s="2" t="s">
        <v>1567</v>
      </c>
      <c r="U210" t="str">
        <f>INDEX(Table2[Doctor_Name],MATCH(Table1_3[[#This Row],[Department]],Table2[Department],0))</f>
        <v>Dr. Arvind Chen</v>
      </c>
    </row>
    <row r="211" spans="1:21" x14ac:dyDescent="0.35">
      <c r="A211" s="2" t="s">
        <v>1029</v>
      </c>
      <c r="B211" s="2" t="s">
        <v>1030</v>
      </c>
      <c r="C211" s="2">
        <v>22</v>
      </c>
      <c r="D211" s="2" t="s">
        <v>29</v>
      </c>
      <c r="E211" s="2" t="s">
        <v>146</v>
      </c>
      <c r="F211" s="2" t="s">
        <v>17</v>
      </c>
      <c r="G211" s="2" t="s">
        <v>112</v>
      </c>
      <c r="H211" s="2">
        <v>150</v>
      </c>
      <c r="I211" s="2">
        <v>110.2</v>
      </c>
      <c r="J211" s="2" t="s">
        <v>36</v>
      </c>
      <c r="K211" s="2" t="s">
        <v>19</v>
      </c>
      <c r="L211" s="2" t="s">
        <v>103</v>
      </c>
      <c r="M211" s="3">
        <v>44607</v>
      </c>
      <c r="N211" s="4">
        <f>Table1_3[[#This Row],[Admission_Date]]</f>
        <v>44607</v>
      </c>
      <c r="O211" s="5">
        <f>Table1_3[[#This Row],[Admission_Date]]</f>
        <v>44607</v>
      </c>
      <c r="P211" s="2">
        <v>1260.6400000000001</v>
      </c>
      <c r="Q211" s="2">
        <f t="shared" si="3"/>
        <v>31</v>
      </c>
      <c r="R211" s="2" t="s">
        <v>2527</v>
      </c>
      <c r="S211" s="2">
        <v>48.977777777777781</v>
      </c>
      <c r="T211" s="2" t="s">
        <v>2522</v>
      </c>
      <c r="U211" t="str">
        <f>INDEX(Table2[Doctor_Name],MATCH(Table1_3[[#This Row],[Department]],Table2[Department],0))</f>
        <v>Dr. Suresh Johnson</v>
      </c>
    </row>
    <row r="212" spans="1:21" x14ac:dyDescent="0.35">
      <c r="A212" s="2" t="s">
        <v>1006</v>
      </c>
      <c r="B212" s="2" t="s">
        <v>1007</v>
      </c>
      <c r="C212" s="2">
        <v>36</v>
      </c>
      <c r="D212" s="2" t="s">
        <v>138</v>
      </c>
      <c r="E212" s="2" t="s">
        <v>119</v>
      </c>
      <c r="F212" s="2" t="s">
        <v>2518</v>
      </c>
      <c r="G212" s="2" t="s">
        <v>60</v>
      </c>
      <c r="H212" s="2" t="s">
        <v>2519</v>
      </c>
      <c r="I212" s="2">
        <v>86</v>
      </c>
      <c r="J212" s="2" t="s">
        <v>19</v>
      </c>
      <c r="K212" s="2" t="s">
        <v>19</v>
      </c>
      <c r="L212" s="2" t="s">
        <v>107</v>
      </c>
      <c r="M212" s="3">
        <v>44436</v>
      </c>
      <c r="N212" s="4">
        <f>Table1_3[[#This Row],[Admission_Date]]</f>
        <v>44436</v>
      </c>
      <c r="O212" s="5">
        <f>Table1_3[[#This Row],[Admission_Date]]</f>
        <v>44436</v>
      </c>
      <c r="P212" s="2">
        <v>47857.11</v>
      </c>
      <c r="Q212" s="2">
        <f t="shared" si="3"/>
        <v>1</v>
      </c>
      <c r="R212" s="2" t="s">
        <v>2523</v>
      </c>
      <c r="S212" s="2" t="s">
        <v>36</v>
      </c>
      <c r="T212" s="2" t="s">
        <v>36</v>
      </c>
      <c r="U212" t="str">
        <f>INDEX(Table2[Doctor_Name],MATCH(Table1_3[[#This Row],[Department]],Table2[Department],0))</f>
        <v>Dr. Anita Sanchez</v>
      </c>
    </row>
    <row r="213" spans="1:21" x14ac:dyDescent="0.35">
      <c r="A213" s="2" t="s">
        <v>711</v>
      </c>
      <c r="B213" s="2" t="s">
        <v>458</v>
      </c>
      <c r="C213" s="2">
        <v>32</v>
      </c>
      <c r="D213" s="2" t="s">
        <v>29</v>
      </c>
      <c r="E213" s="2" t="s">
        <v>24</v>
      </c>
      <c r="F213" s="2" t="s">
        <v>2517</v>
      </c>
      <c r="G213" s="2" t="s">
        <v>191</v>
      </c>
      <c r="H213" s="2">
        <v>183</v>
      </c>
      <c r="I213" s="2">
        <v>63.2</v>
      </c>
      <c r="J213" s="2" t="s">
        <v>36</v>
      </c>
      <c r="K213" s="2" t="s">
        <v>65</v>
      </c>
      <c r="L213" s="2" t="s">
        <v>143</v>
      </c>
      <c r="M213" s="3">
        <v>44667</v>
      </c>
      <c r="N213" s="4">
        <f>Table1_3[[#This Row],[Admission_Date]]</f>
        <v>44667</v>
      </c>
      <c r="O213" s="5">
        <f>Table1_3[[#This Row],[Admission_Date]]</f>
        <v>44667</v>
      </c>
      <c r="P213" s="2">
        <v>20915.09</v>
      </c>
      <c r="Q213" s="2">
        <f t="shared" si="3"/>
        <v>35</v>
      </c>
      <c r="R213" s="2" t="s">
        <v>2523</v>
      </c>
      <c r="S213" s="2">
        <v>18.871868374690195</v>
      </c>
      <c r="T213" s="2" t="s">
        <v>1567</v>
      </c>
      <c r="U213" t="str">
        <f>INDEX(Table2[Doctor_Name],MATCH(Table1_3[[#This Row],[Department]],Table2[Department],0))</f>
        <v>Dr. Neha Liu</v>
      </c>
    </row>
    <row r="214" spans="1:21" x14ac:dyDescent="0.35">
      <c r="A214" s="2" t="s">
        <v>328</v>
      </c>
      <c r="B214" s="2" t="s">
        <v>329</v>
      </c>
      <c r="C214" s="2">
        <v>44</v>
      </c>
      <c r="D214" s="2" t="s">
        <v>138</v>
      </c>
      <c r="E214" s="2" t="s">
        <v>84</v>
      </c>
      <c r="F214" s="2" t="s">
        <v>120</v>
      </c>
      <c r="G214" s="2" t="s">
        <v>160</v>
      </c>
      <c r="H214" s="2">
        <v>150</v>
      </c>
      <c r="I214" s="2">
        <v>107</v>
      </c>
      <c r="J214" s="2" t="s">
        <v>65</v>
      </c>
      <c r="K214" s="2" t="s">
        <v>36</v>
      </c>
      <c r="L214" s="2" t="s">
        <v>226</v>
      </c>
      <c r="M214" s="3">
        <v>44677</v>
      </c>
      <c r="N214" s="4">
        <f>Table1_3[[#This Row],[Admission_Date]]</f>
        <v>44677</v>
      </c>
      <c r="O214" s="5">
        <f>Table1_3[[#This Row],[Admission_Date]]</f>
        <v>44677</v>
      </c>
      <c r="P214" s="2">
        <v>12481.8</v>
      </c>
      <c r="Q214" s="2">
        <f t="shared" si="3"/>
        <v>35</v>
      </c>
      <c r="R214" s="2" t="s">
        <v>2523</v>
      </c>
      <c r="S214" s="2">
        <v>47.555555555555557</v>
      </c>
      <c r="T214" s="2" t="s">
        <v>2522</v>
      </c>
      <c r="U214" t="str">
        <f>INDEX(Table2[Doctor_Name],MATCH(Table1_3[[#This Row],[Department]],Table2[Department],0))</f>
        <v>Dr. Vikram Khan</v>
      </c>
    </row>
    <row r="215" spans="1:21" x14ac:dyDescent="0.35">
      <c r="A215" s="2" t="s">
        <v>524</v>
      </c>
      <c r="B215" s="2" t="s">
        <v>2436</v>
      </c>
      <c r="C215" s="2">
        <v>11</v>
      </c>
      <c r="D215" s="2" t="s">
        <v>29</v>
      </c>
      <c r="E215" s="2" t="s">
        <v>146</v>
      </c>
      <c r="F215" s="2" t="s">
        <v>36</v>
      </c>
      <c r="G215" s="2" t="s">
        <v>124</v>
      </c>
      <c r="H215" s="2">
        <v>184</v>
      </c>
      <c r="I215" s="2">
        <v>126.2</v>
      </c>
      <c r="J215" s="2" t="s">
        <v>65</v>
      </c>
      <c r="K215" s="2" t="s">
        <v>65</v>
      </c>
      <c r="L215" s="2" t="s">
        <v>107</v>
      </c>
      <c r="M215" s="3">
        <v>45087</v>
      </c>
      <c r="N215" s="4">
        <f>Table1_3[[#This Row],[Admission_Date]]</f>
        <v>45087</v>
      </c>
      <c r="O215" s="5">
        <f>Table1_3[[#This Row],[Admission_Date]]</f>
        <v>45087</v>
      </c>
      <c r="P215" s="2">
        <v>43504.06</v>
      </c>
      <c r="Q215" s="2">
        <f t="shared" si="3"/>
        <v>83</v>
      </c>
      <c r="R215" s="2" t="s">
        <v>2521</v>
      </c>
      <c r="S215" s="2">
        <v>37.275519848771268</v>
      </c>
      <c r="T215" s="2" t="s">
        <v>2522</v>
      </c>
      <c r="U215" t="str">
        <f>INDEX(Table2[Doctor_Name],MATCH(Table1_3[[#This Row],[Department]],Table2[Department],0))</f>
        <v>Dr. Anita Sanchez</v>
      </c>
    </row>
    <row r="216" spans="1:21" x14ac:dyDescent="0.35">
      <c r="A216" s="2" t="s">
        <v>302</v>
      </c>
      <c r="B216" s="2" t="s">
        <v>2418</v>
      </c>
      <c r="C216" s="2">
        <v>7</v>
      </c>
      <c r="D216" s="2" t="s">
        <v>52</v>
      </c>
      <c r="E216" s="2" t="s">
        <v>217</v>
      </c>
      <c r="F216" s="2" t="s">
        <v>36</v>
      </c>
      <c r="G216" s="2" t="s">
        <v>18</v>
      </c>
      <c r="H216" s="2">
        <v>162</v>
      </c>
      <c r="I216" s="2">
        <v>117</v>
      </c>
      <c r="J216" s="2" t="s">
        <v>65</v>
      </c>
      <c r="K216" s="2" t="s">
        <v>65</v>
      </c>
      <c r="L216" s="2" t="s">
        <v>55</v>
      </c>
      <c r="M216" s="3">
        <v>45258</v>
      </c>
      <c r="N216" s="4">
        <f>Table1_3[[#This Row],[Admission_Date]]</f>
        <v>45258</v>
      </c>
      <c r="O216" s="5">
        <f>Table1_3[[#This Row],[Admission_Date]]</f>
        <v>45258</v>
      </c>
      <c r="P216" s="2">
        <v>0</v>
      </c>
      <c r="Q216" s="2">
        <f t="shared" si="3"/>
        <v>42</v>
      </c>
      <c r="R216" s="2" t="s">
        <v>2521</v>
      </c>
      <c r="S216" s="2">
        <v>44.581618655692722</v>
      </c>
      <c r="T216" s="2" t="s">
        <v>2522</v>
      </c>
      <c r="U216" t="str">
        <f>INDEX(Table2[Doctor_Name],MATCH(Table1_3[[#This Row],[Department]],Table2[Department],0))</f>
        <v>Dr. Sunita Sanchez</v>
      </c>
    </row>
    <row r="217" spans="1:21" x14ac:dyDescent="0.35">
      <c r="A217" s="2" t="s">
        <v>743</v>
      </c>
      <c r="B217" s="2" t="s">
        <v>744</v>
      </c>
      <c r="C217" s="2">
        <v>24</v>
      </c>
      <c r="D217" s="2" t="s">
        <v>52</v>
      </c>
      <c r="E217" s="2" t="s">
        <v>53</v>
      </c>
      <c r="F217" s="2" t="s">
        <v>2517</v>
      </c>
      <c r="G217" s="2" t="s">
        <v>417</v>
      </c>
      <c r="H217" s="2">
        <v>149</v>
      </c>
      <c r="I217" s="2">
        <v>78.2</v>
      </c>
      <c r="J217" s="2" t="s">
        <v>36</v>
      </c>
      <c r="K217" s="2" t="s">
        <v>65</v>
      </c>
      <c r="L217" s="2" t="s">
        <v>107</v>
      </c>
      <c r="M217" s="3">
        <v>44930</v>
      </c>
      <c r="N217" s="4">
        <f>Table1_3[[#This Row],[Admission_Date]]</f>
        <v>44930</v>
      </c>
      <c r="O217" s="5">
        <f>Table1_3[[#This Row],[Admission_Date]]</f>
        <v>44930</v>
      </c>
      <c r="P217" s="2">
        <v>22811.09</v>
      </c>
      <c r="Q217" s="2">
        <f t="shared" si="3"/>
        <v>83</v>
      </c>
      <c r="R217" s="2" t="s">
        <v>2527</v>
      </c>
      <c r="S217" s="2">
        <v>35.223638574838972</v>
      </c>
      <c r="T217" s="2" t="s">
        <v>2522</v>
      </c>
      <c r="U217" t="str">
        <f>INDEX(Table2[Doctor_Name],MATCH(Table1_3[[#This Row],[Department]],Table2[Department],0))</f>
        <v>Dr. Anita Sanchez</v>
      </c>
    </row>
    <row r="218" spans="1:21" x14ac:dyDescent="0.35">
      <c r="A218" s="2" t="s">
        <v>1292</v>
      </c>
      <c r="B218" s="2" t="s">
        <v>1293</v>
      </c>
      <c r="C218" s="2">
        <v>49</v>
      </c>
      <c r="D218" s="2" t="s">
        <v>138</v>
      </c>
      <c r="E218" s="2" t="s">
        <v>89</v>
      </c>
      <c r="F218" s="2" t="s">
        <v>17</v>
      </c>
      <c r="G218" s="2" t="s">
        <v>160</v>
      </c>
      <c r="H218" s="2">
        <v>152</v>
      </c>
      <c r="I218" s="2">
        <v>120.4</v>
      </c>
      <c r="J218" s="2" t="s">
        <v>65</v>
      </c>
      <c r="K218" s="2" t="s">
        <v>19</v>
      </c>
      <c r="L218" s="2" t="s">
        <v>107</v>
      </c>
      <c r="M218" s="3">
        <v>44412</v>
      </c>
      <c r="N218" s="4">
        <f>Table1_3[[#This Row],[Admission_Date]]</f>
        <v>44412</v>
      </c>
      <c r="O218" s="5">
        <f>Table1_3[[#This Row],[Admission_Date]]</f>
        <v>44412</v>
      </c>
      <c r="P218" s="2">
        <v>5399.25</v>
      </c>
      <c r="Q218" s="2">
        <f t="shared" si="3"/>
        <v>83</v>
      </c>
      <c r="R218" s="2" t="s">
        <v>2523</v>
      </c>
      <c r="S218" s="2">
        <v>52.112188365650972</v>
      </c>
      <c r="T218" s="2" t="s">
        <v>2522</v>
      </c>
      <c r="U218" t="str">
        <f>INDEX(Table2[Doctor_Name],MATCH(Table1_3[[#This Row],[Department]],Table2[Department],0))</f>
        <v>Dr. Anita Sanchez</v>
      </c>
    </row>
    <row r="219" spans="1:21" x14ac:dyDescent="0.35">
      <c r="A219" s="2" t="s">
        <v>551</v>
      </c>
      <c r="B219" s="2" t="s">
        <v>552</v>
      </c>
      <c r="C219" s="2">
        <v>47</v>
      </c>
      <c r="D219" s="2" t="s">
        <v>138</v>
      </c>
      <c r="E219" s="2" t="s">
        <v>84</v>
      </c>
      <c r="F219" s="2" t="s">
        <v>273</v>
      </c>
      <c r="G219" s="2" t="s">
        <v>102</v>
      </c>
      <c r="H219" s="2">
        <v>191.7</v>
      </c>
      <c r="I219" s="2">
        <v>118</v>
      </c>
      <c r="J219" s="2" t="s">
        <v>36</v>
      </c>
      <c r="K219" s="2" t="s">
        <v>65</v>
      </c>
      <c r="L219" s="2" t="s">
        <v>143</v>
      </c>
      <c r="M219" s="3">
        <v>44554</v>
      </c>
      <c r="N219" s="4">
        <f>Table1_3[[#This Row],[Admission_Date]]</f>
        <v>44554</v>
      </c>
      <c r="O219" s="5">
        <f>Table1_3[[#This Row],[Admission_Date]]</f>
        <v>44554</v>
      </c>
      <c r="P219" s="2">
        <v>18077.900000000001</v>
      </c>
      <c r="Q219" s="2">
        <f t="shared" si="3"/>
        <v>35</v>
      </c>
      <c r="R219" s="2" t="s">
        <v>2523</v>
      </c>
      <c r="S219" s="2">
        <v>32.109813384839654</v>
      </c>
      <c r="T219" s="2" t="s">
        <v>2522</v>
      </c>
      <c r="U219" t="str">
        <f>INDEX(Table2[Doctor_Name],MATCH(Table1_3[[#This Row],[Department]],Table2[Department],0))</f>
        <v>Dr. Neha Liu</v>
      </c>
    </row>
    <row r="220" spans="1:21" x14ac:dyDescent="0.35">
      <c r="A220" s="2" t="s">
        <v>717</v>
      </c>
      <c r="B220" s="2" t="s">
        <v>718</v>
      </c>
      <c r="C220" s="2">
        <v>19</v>
      </c>
      <c r="D220" s="2" t="s">
        <v>138</v>
      </c>
      <c r="E220" s="2" t="s">
        <v>73</v>
      </c>
      <c r="F220" s="2" t="s">
        <v>17</v>
      </c>
      <c r="G220" s="2" t="s">
        <v>60</v>
      </c>
      <c r="H220" s="2">
        <v>155</v>
      </c>
      <c r="I220" s="2">
        <v>70.900000000000006</v>
      </c>
      <c r="J220" s="2" t="s">
        <v>65</v>
      </c>
      <c r="K220" s="2" t="s">
        <v>36</v>
      </c>
      <c r="L220" s="2" t="s">
        <v>107</v>
      </c>
      <c r="M220" s="3">
        <v>44599</v>
      </c>
      <c r="N220" s="4">
        <f>Table1_3[[#This Row],[Admission_Date]]</f>
        <v>44599</v>
      </c>
      <c r="O220" s="5">
        <f>Table1_3[[#This Row],[Admission_Date]]</f>
        <v>44599</v>
      </c>
      <c r="P220" s="2">
        <v>32409.89</v>
      </c>
      <c r="Q220" s="2">
        <f t="shared" si="3"/>
        <v>83</v>
      </c>
      <c r="R220" s="2" t="s">
        <v>2527</v>
      </c>
      <c r="S220" s="2">
        <v>29.510926118626429</v>
      </c>
      <c r="T220" s="2" t="s">
        <v>2526</v>
      </c>
      <c r="U220" t="str">
        <f>INDEX(Table2[Doctor_Name],MATCH(Table1_3[[#This Row],[Department]],Table2[Department],0))</f>
        <v>Dr. Anita Sanchez</v>
      </c>
    </row>
    <row r="221" spans="1:21" x14ac:dyDescent="0.35">
      <c r="A221" s="2" t="s">
        <v>582</v>
      </c>
      <c r="B221" s="2" t="s">
        <v>583</v>
      </c>
      <c r="C221" s="2">
        <v>22</v>
      </c>
      <c r="D221" s="2" t="s">
        <v>29</v>
      </c>
      <c r="E221" s="2" t="s">
        <v>24</v>
      </c>
      <c r="F221" s="2" t="s">
        <v>17</v>
      </c>
      <c r="G221" s="2" t="s">
        <v>295</v>
      </c>
      <c r="H221" s="2">
        <v>174.6</v>
      </c>
      <c r="I221" s="2">
        <v>76</v>
      </c>
      <c r="J221" s="2" t="s">
        <v>65</v>
      </c>
      <c r="K221" s="2" t="s">
        <v>65</v>
      </c>
      <c r="L221" s="2" t="s">
        <v>175</v>
      </c>
      <c r="M221" s="3">
        <v>44307</v>
      </c>
      <c r="N221" s="4">
        <f>Table1_3[[#This Row],[Admission_Date]]</f>
        <v>44307</v>
      </c>
      <c r="O221" s="5">
        <f>Table1_3[[#This Row],[Admission_Date]]</f>
        <v>44307</v>
      </c>
      <c r="P221" s="2">
        <v>38661.22</v>
      </c>
      <c r="Q221" s="2">
        <f t="shared" si="3"/>
        <v>38</v>
      </c>
      <c r="R221" s="2" t="s">
        <v>2527</v>
      </c>
      <c r="S221" s="2">
        <v>24.930162741478149</v>
      </c>
      <c r="T221" s="2" t="s">
        <v>1567</v>
      </c>
      <c r="U221" t="str">
        <f>INDEX(Table2[Doctor_Name],MATCH(Table1_3[[#This Row],[Department]],Table2[Department],0))</f>
        <v>Dr. Arvind Wilson</v>
      </c>
    </row>
    <row r="222" spans="1:21" x14ac:dyDescent="0.35">
      <c r="A222" s="2" t="s">
        <v>1085</v>
      </c>
      <c r="B222" s="2" t="s">
        <v>2478</v>
      </c>
      <c r="C222" s="2">
        <v>50</v>
      </c>
      <c r="D222" s="2" t="s">
        <v>29</v>
      </c>
      <c r="E222" s="2" t="s">
        <v>130</v>
      </c>
      <c r="F222" s="2" t="s">
        <v>2517</v>
      </c>
      <c r="G222" s="2" t="s">
        <v>295</v>
      </c>
      <c r="H222" s="2">
        <v>190.9</v>
      </c>
      <c r="I222" s="2">
        <v>55</v>
      </c>
      <c r="J222" s="2" t="s">
        <v>36</v>
      </c>
      <c r="K222" s="2" t="s">
        <v>65</v>
      </c>
      <c r="L222" s="2" t="s">
        <v>199</v>
      </c>
      <c r="M222" s="3">
        <v>44863</v>
      </c>
      <c r="N222" s="4">
        <f>Table1_3[[#This Row],[Admission_Date]]</f>
        <v>44863</v>
      </c>
      <c r="O222" s="5">
        <f>Table1_3[[#This Row],[Admission_Date]]</f>
        <v>44863</v>
      </c>
      <c r="P222" s="2">
        <v>23626.080000000002</v>
      </c>
      <c r="Q222" s="2">
        <f t="shared" si="3"/>
        <v>34</v>
      </c>
      <c r="R222" s="2" t="s">
        <v>2523</v>
      </c>
      <c r="S222" s="2">
        <v>15.092140260314721</v>
      </c>
      <c r="T222" s="2" t="s">
        <v>2524</v>
      </c>
      <c r="U222" t="str">
        <f>INDEX(Table2[Doctor_Name],MATCH(Table1_3[[#This Row],[Department]],Table2[Department],0))</f>
        <v>Dr. Vikram Torres</v>
      </c>
    </row>
    <row r="223" spans="1:21" x14ac:dyDescent="0.35">
      <c r="A223" s="2" t="s">
        <v>331</v>
      </c>
      <c r="B223" s="2" t="s">
        <v>2420</v>
      </c>
      <c r="C223" s="2">
        <v>81</v>
      </c>
      <c r="D223" s="2" t="s">
        <v>138</v>
      </c>
      <c r="E223" s="2" t="s">
        <v>24</v>
      </c>
      <c r="F223" s="2" t="s">
        <v>36</v>
      </c>
      <c r="G223" s="2" t="s">
        <v>160</v>
      </c>
      <c r="H223" s="2">
        <v>145.30000000000001</v>
      </c>
      <c r="I223" s="2">
        <v>60</v>
      </c>
      <c r="J223" s="2" t="s">
        <v>65</v>
      </c>
      <c r="K223" s="2" t="s">
        <v>19</v>
      </c>
      <c r="L223" s="2" t="s">
        <v>107</v>
      </c>
      <c r="M223" s="3">
        <v>45041</v>
      </c>
      <c r="N223" s="4">
        <f>Table1_3[[#This Row],[Admission_Date]]</f>
        <v>45041</v>
      </c>
      <c r="O223" s="5">
        <f>Table1_3[[#This Row],[Admission_Date]]</f>
        <v>45041</v>
      </c>
      <c r="P223" s="2">
        <v>0</v>
      </c>
      <c r="Q223" s="2">
        <f t="shared" si="3"/>
        <v>83</v>
      </c>
      <c r="R223" s="2" t="s">
        <v>2525</v>
      </c>
      <c r="S223" s="2">
        <v>28.419734853347062</v>
      </c>
      <c r="T223" s="2" t="s">
        <v>2526</v>
      </c>
      <c r="U223" t="str">
        <f>INDEX(Table2[Doctor_Name],MATCH(Table1_3[[#This Row],[Department]],Table2[Department],0))</f>
        <v>Dr. Anita Sanchez</v>
      </c>
    </row>
    <row r="224" spans="1:21" x14ac:dyDescent="0.35">
      <c r="A224" s="2" t="s">
        <v>830</v>
      </c>
      <c r="B224" s="2" t="s">
        <v>831</v>
      </c>
      <c r="C224" s="2">
        <v>89</v>
      </c>
      <c r="D224" s="2" t="s">
        <v>138</v>
      </c>
      <c r="E224" s="2" t="s">
        <v>130</v>
      </c>
      <c r="F224" s="2" t="s">
        <v>36</v>
      </c>
      <c r="G224" s="2" t="s">
        <v>280</v>
      </c>
      <c r="H224" s="2">
        <v>187</v>
      </c>
      <c r="I224" s="2">
        <v>66</v>
      </c>
      <c r="J224" s="2" t="s">
        <v>19</v>
      </c>
      <c r="K224" s="2" t="s">
        <v>19</v>
      </c>
      <c r="L224" s="2" t="s">
        <v>107</v>
      </c>
      <c r="M224" s="3">
        <v>44583</v>
      </c>
      <c r="N224" s="4">
        <f>Table1_3[[#This Row],[Admission_Date]]</f>
        <v>44583</v>
      </c>
      <c r="O224" s="5">
        <f>Table1_3[[#This Row],[Admission_Date]]</f>
        <v>44583</v>
      </c>
      <c r="P224" s="2">
        <v>44167.02</v>
      </c>
      <c r="Q224" s="2">
        <f t="shared" si="3"/>
        <v>83</v>
      </c>
      <c r="R224" s="2" t="s">
        <v>2525</v>
      </c>
      <c r="S224" s="2">
        <v>18.873859704309528</v>
      </c>
      <c r="T224" s="2" t="s">
        <v>1567</v>
      </c>
      <c r="U224" t="str">
        <f>INDEX(Table2[Doctor_Name],MATCH(Table1_3[[#This Row],[Department]],Table2[Department],0))</f>
        <v>Dr. Anita Sanchez</v>
      </c>
    </row>
    <row r="225" spans="1:21" x14ac:dyDescent="0.35">
      <c r="A225" s="2" t="s">
        <v>989</v>
      </c>
      <c r="B225" s="2" t="s">
        <v>990</v>
      </c>
      <c r="C225" s="2">
        <v>11</v>
      </c>
      <c r="D225" s="2" t="s">
        <v>29</v>
      </c>
      <c r="E225" s="2" t="s">
        <v>24</v>
      </c>
      <c r="F225" s="2" t="s">
        <v>2517</v>
      </c>
      <c r="G225" s="2" t="s">
        <v>160</v>
      </c>
      <c r="H225" s="2">
        <v>163.69999999999999</v>
      </c>
      <c r="I225" s="2">
        <v>106.9</v>
      </c>
      <c r="J225" s="2" t="s">
        <v>65</v>
      </c>
      <c r="K225" s="2" t="s">
        <v>65</v>
      </c>
      <c r="L225" s="2" t="s">
        <v>199</v>
      </c>
      <c r="M225" s="3">
        <v>44337</v>
      </c>
      <c r="N225" s="4">
        <f>Table1_3[[#This Row],[Admission_Date]]</f>
        <v>44337</v>
      </c>
      <c r="O225" s="5">
        <f>Table1_3[[#This Row],[Admission_Date]]</f>
        <v>44337</v>
      </c>
      <c r="P225" s="2">
        <v>7262.89</v>
      </c>
      <c r="Q225" s="2">
        <f t="shared" si="3"/>
        <v>34</v>
      </c>
      <c r="R225" s="2" t="s">
        <v>2521</v>
      </c>
      <c r="S225" s="2">
        <v>39.891498110471474</v>
      </c>
      <c r="T225" s="2" t="s">
        <v>2522</v>
      </c>
      <c r="U225" t="str">
        <f>INDEX(Table2[Doctor_Name],MATCH(Table1_3[[#This Row],[Department]],Table2[Department],0))</f>
        <v>Dr. Vikram Torres</v>
      </c>
    </row>
    <row r="226" spans="1:21" x14ac:dyDescent="0.35">
      <c r="A226" s="2" t="s">
        <v>390</v>
      </c>
      <c r="B226" s="2" t="s">
        <v>391</v>
      </c>
      <c r="C226" s="2">
        <v>20</v>
      </c>
      <c r="D226" s="2" t="s">
        <v>29</v>
      </c>
      <c r="E226" s="2" t="s">
        <v>84</v>
      </c>
      <c r="F226" s="2" t="s">
        <v>273</v>
      </c>
      <c r="G226" s="2" t="s">
        <v>90</v>
      </c>
      <c r="H226" s="2">
        <v>148</v>
      </c>
      <c r="I226" s="2">
        <v>105</v>
      </c>
      <c r="J226" s="2" t="s">
        <v>65</v>
      </c>
      <c r="K226" s="2" t="s">
        <v>19</v>
      </c>
      <c r="L226" s="2" t="s">
        <v>69</v>
      </c>
      <c r="M226" s="3">
        <v>45207</v>
      </c>
      <c r="N226" s="4">
        <f>Table1_3[[#This Row],[Admission_Date]]</f>
        <v>45207</v>
      </c>
      <c r="O226" s="5">
        <f>Table1_3[[#This Row],[Admission_Date]]</f>
        <v>45207</v>
      </c>
      <c r="P226" s="2">
        <v>17424.689999999999</v>
      </c>
      <c r="Q226" s="2">
        <f t="shared" si="3"/>
        <v>107</v>
      </c>
      <c r="R226" s="2" t="s">
        <v>2527</v>
      </c>
      <c r="S226" s="2">
        <v>47.936449963476996</v>
      </c>
      <c r="T226" s="2" t="s">
        <v>2522</v>
      </c>
      <c r="U226" t="str">
        <f>INDEX(Table2[Doctor_Name],MATCH(Table1_3[[#This Row],[Department]],Table2[Department],0))</f>
        <v>Dr. Vikram Wang</v>
      </c>
    </row>
    <row r="227" spans="1:21" x14ac:dyDescent="0.35">
      <c r="A227" s="2" t="s">
        <v>693</v>
      </c>
      <c r="B227" s="2" t="s">
        <v>694</v>
      </c>
      <c r="C227" s="2">
        <v>19</v>
      </c>
      <c r="D227" s="2" t="s">
        <v>29</v>
      </c>
      <c r="E227" s="2" t="s">
        <v>53</v>
      </c>
      <c r="F227" s="2" t="s">
        <v>2518</v>
      </c>
      <c r="G227" s="2" t="s">
        <v>80</v>
      </c>
      <c r="H227" s="2">
        <v>169.8</v>
      </c>
      <c r="I227" s="2">
        <v>115</v>
      </c>
      <c r="J227" s="2" t="s">
        <v>36</v>
      </c>
      <c r="K227" s="2" t="s">
        <v>65</v>
      </c>
      <c r="L227" s="2" t="s">
        <v>103</v>
      </c>
      <c r="M227" s="3">
        <v>45104</v>
      </c>
      <c r="N227" s="4">
        <f>Table1_3[[#This Row],[Admission_Date]]</f>
        <v>45104</v>
      </c>
      <c r="O227" s="5">
        <f>Table1_3[[#This Row],[Admission_Date]]</f>
        <v>45104</v>
      </c>
      <c r="P227" s="2">
        <v>0</v>
      </c>
      <c r="Q227" s="2">
        <f t="shared" si="3"/>
        <v>31</v>
      </c>
      <c r="R227" s="2" t="s">
        <v>2527</v>
      </c>
      <c r="S227" s="2">
        <v>39.886182177882652</v>
      </c>
      <c r="T227" s="2" t="s">
        <v>2522</v>
      </c>
      <c r="U227" t="str">
        <f>INDEX(Table2[Doctor_Name],MATCH(Table1_3[[#This Row],[Department]],Table2[Department],0))</f>
        <v>Dr. Suresh Johnson</v>
      </c>
    </row>
    <row r="228" spans="1:21" x14ac:dyDescent="0.35">
      <c r="A228" s="2" t="s">
        <v>632</v>
      </c>
      <c r="B228" s="2" t="s">
        <v>574</v>
      </c>
      <c r="C228" s="2">
        <v>40</v>
      </c>
      <c r="D228" s="2" t="s">
        <v>138</v>
      </c>
      <c r="E228" s="2" t="s">
        <v>73</v>
      </c>
      <c r="F228" s="2" t="s">
        <v>141</v>
      </c>
      <c r="G228" s="2" t="s">
        <v>295</v>
      </c>
      <c r="H228" s="2">
        <v>186.1</v>
      </c>
      <c r="I228" s="2">
        <v>66.900000000000006</v>
      </c>
      <c r="J228" s="2" t="s">
        <v>19</v>
      </c>
      <c r="K228" s="2" t="s">
        <v>36</v>
      </c>
      <c r="L228" s="2" t="s">
        <v>226</v>
      </c>
      <c r="M228" s="3">
        <v>44428</v>
      </c>
      <c r="N228" s="4">
        <f>Table1_3[[#This Row],[Admission_Date]]</f>
        <v>44428</v>
      </c>
      <c r="O228" s="5">
        <f>Table1_3[[#This Row],[Admission_Date]]</f>
        <v>44428</v>
      </c>
      <c r="P228" s="2">
        <v>31828.99</v>
      </c>
      <c r="Q228" s="2">
        <f t="shared" si="3"/>
        <v>35</v>
      </c>
      <c r="R228" s="2" t="s">
        <v>2523</v>
      </c>
      <c r="S228" s="2">
        <v>19.316719414688965</v>
      </c>
      <c r="T228" s="2" t="s">
        <v>1567</v>
      </c>
      <c r="U228" t="str">
        <f>INDEX(Table2[Doctor_Name],MATCH(Table1_3[[#This Row],[Department]],Table2[Department],0))</f>
        <v>Dr. Vikram Khan</v>
      </c>
    </row>
    <row r="229" spans="1:21" x14ac:dyDescent="0.35">
      <c r="A229" s="2" t="s">
        <v>1203</v>
      </c>
      <c r="B229" s="2" t="s">
        <v>1204</v>
      </c>
      <c r="C229" s="2" t="s">
        <v>2519</v>
      </c>
      <c r="D229" s="2" t="s">
        <v>29</v>
      </c>
      <c r="E229" s="2" t="s">
        <v>115</v>
      </c>
      <c r="F229" s="2" t="s">
        <v>36</v>
      </c>
      <c r="G229" s="2" t="s">
        <v>25</v>
      </c>
      <c r="H229" s="2">
        <v>160</v>
      </c>
      <c r="I229" s="2">
        <v>85</v>
      </c>
      <c r="J229" s="2" t="s">
        <v>36</v>
      </c>
      <c r="K229" s="2" t="s">
        <v>19</v>
      </c>
      <c r="L229" s="2" t="s">
        <v>69</v>
      </c>
      <c r="M229" s="3">
        <v>44925</v>
      </c>
      <c r="N229" s="4">
        <f>Table1_3[[#This Row],[Admission_Date]]</f>
        <v>44925</v>
      </c>
      <c r="O229" s="5">
        <f>Table1_3[[#This Row],[Admission_Date]]</f>
        <v>44925</v>
      </c>
      <c r="P229" s="2">
        <v>8118.96</v>
      </c>
      <c r="Q229" s="2">
        <f t="shared" si="3"/>
        <v>107</v>
      </c>
      <c r="R229" s="2" t="s">
        <v>36</v>
      </c>
      <c r="S229" s="2">
        <v>33.203124999999993</v>
      </c>
      <c r="T229" s="2" t="s">
        <v>2522</v>
      </c>
      <c r="U229" t="str">
        <f>INDEX(Table2[Doctor_Name],MATCH(Table1_3[[#This Row],[Department]],Table2[Department],0))</f>
        <v>Dr. Vikram Wang</v>
      </c>
    </row>
    <row r="230" spans="1:21" x14ac:dyDescent="0.35">
      <c r="A230" s="2" t="s">
        <v>898</v>
      </c>
      <c r="B230" s="2" t="s">
        <v>249</v>
      </c>
      <c r="C230" s="2">
        <v>57</v>
      </c>
      <c r="D230" s="2" t="s">
        <v>138</v>
      </c>
      <c r="E230" s="2" t="s">
        <v>111</v>
      </c>
      <c r="F230" s="2" t="s">
        <v>273</v>
      </c>
      <c r="G230" s="2" t="s">
        <v>25</v>
      </c>
      <c r="H230" s="2">
        <v>153.1</v>
      </c>
      <c r="I230" s="2">
        <v>83.7</v>
      </c>
      <c r="J230" s="2" t="s">
        <v>19</v>
      </c>
      <c r="K230" s="2" t="s">
        <v>19</v>
      </c>
      <c r="L230" s="2" t="s">
        <v>175</v>
      </c>
      <c r="M230" s="3">
        <v>45200</v>
      </c>
      <c r="N230" s="4">
        <f>Table1_3[[#This Row],[Admission_Date]]</f>
        <v>45200</v>
      </c>
      <c r="O230" s="5">
        <f>Table1_3[[#This Row],[Admission_Date]]</f>
        <v>45200</v>
      </c>
      <c r="P230" s="2">
        <v>28551.74</v>
      </c>
      <c r="Q230" s="2">
        <f t="shared" si="3"/>
        <v>38</v>
      </c>
      <c r="R230" s="2" t="s">
        <v>2523</v>
      </c>
      <c r="S230" s="2">
        <v>35.708785257092593</v>
      </c>
      <c r="T230" s="2" t="s">
        <v>2522</v>
      </c>
      <c r="U230" t="str">
        <f>INDEX(Table2[Doctor_Name],MATCH(Table1_3[[#This Row],[Department]],Table2[Department],0))</f>
        <v>Dr. Arvind Wilson</v>
      </c>
    </row>
    <row r="231" spans="1:21" x14ac:dyDescent="0.35">
      <c r="A231" s="2" t="s">
        <v>1048</v>
      </c>
      <c r="B231" s="2" t="s">
        <v>2474</v>
      </c>
      <c r="C231" s="2">
        <v>58</v>
      </c>
      <c r="D231" s="2" t="s">
        <v>29</v>
      </c>
      <c r="E231" s="2" t="s">
        <v>53</v>
      </c>
      <c r="F231" s="2" t="s">
        <v>17</v>
      </c>
      <c r="G231" s="2" t="s">
        <v>60</v>
      </c>
      <c r="H231" s="2">
        <v>179</v>
      </c>
      <c r="I231" s="2">
        <v>74</v>
      </c>
      <c r="J231" s="2" t="s">
        <v>19</v>
      </c>
      <c r="K231" s="2" t="s">
        <v>65</v>
      </c>
      <c r="L231" s="2" t="s">
        <v>199</v>
      </c>
      <c r="M231" s="3">
        <v>44942</v>
      </c>
      <c r="N231" s="4">
        <f>Table1_3[[#This Row],[Admission_Date]]</f>
        <v>44942</v>
      </c>
      <c r="O231" s="5">
        <f>Table1_3[[#This Row],[Admission_Date]]</f>
        <v>44942</v>
      </c>
      <c r="P231" s="2">
        <v>12319.93</v>
      </c>
      <c r="Q231" s="2">
        <f t="shared" si="3"/>
        <v>34</v>
      </c>
      <c r="R231" s="2" t="s">
        <v>2523</v>
      </c>
      <c r="S231" s="2">
        <v>23.095409007209515</v>
      </c>
      <c r="T231" s="2" t="s">
        <v>1567</v>
      </c>
      <c r="U231" t="str">
        <f>INDEX(Table2[Doctor_Name],MATCH(Table1_3[[#This Row],[Department]],Table2[Department],0))</f>
        <v>Dr. Vikram Torres</v>
      </c>
    </row>
    <row r="232" spans="1:21" x14ac:dyDescent="0.35">
      <c r="A232" s="2" t="s">
        <v>1265</v>
      </c>
      <c r="B232" s="2" t="s">
        <v>1266</v>
      </c>
      <c r="C232" s="2">
        <v>71</v>
      </c>
      <c r="D232" s="2" t="s">
        <v>29</v>
      </c>
      <c r="E232" s="2" t="s">
        <v>119</v>
      </c>
      <c r="F232" s="2" t="s">
        <v>79</v>
      </c>
      <c r="G232" s="2" t="s">
        <v>102</v>
      </c>
      <c r="H232" s="2">
        <v>182</v>
      </c>
      <c r="I232" s="2">
        <v>46</v>
      </c>
      <c r="J232" s="2" t="s">
        <v>19</v>
      </c>
      <c r="K232" s="2" t="s">
        <v>19</v>
      </c>
      <c r="L232" s="2" t="s">
        <v>226</v>
      </c>
      <c r="M232" s="3">
        <v>44416</v>
      </c>
      <c r="N232" s="4">
        <f>Table1_3[[#This Row],[Admission_Date]]</f>
        <v>44416</v>
      </c>
      <c r="O232" s="5">
        <f>Table1_3[[#This Row],[Admission_Date]]</f>
        <v>44416</v>
      </c>
      <c r="P232" s="2">
        <v>0</v>
      </c>
      <c r="Q232" s="2">
        <f t="shared" si="3"/>
        <v>35</v>
      </c>
      <c r="R232" s="2" t="s">
        <v>2525</v>
      </c>
      <c r="S232" s="2">
        <v>13.88721168940949</v>
      </c>
      <c r="T232" s="2" t="s">
        <v>2524</v>
      </c>
      <c r="U232" t="str">
        <f>INDEX(Table2[Doctor_Name],MATCH(Table1_3[[#This Row],[Department]],Table2[Department],0))</f>
        <v>Dr. Vikram Khan</v>
      </c>
    </row>
    <row r="233" spans="1:21" x14ac:dyDescent="0.35">
      <c r="A233" s="2" t="s">
        <v>128</v>
      </c>
      <c r="B233" s="2" t="s">
        <v>129</v>
      </c>
      <c r="C233" s="2">
        <v>7</v>
      </c>
      <c r="D233" s="2" t="s">
        <v>138</v>
      </c>
      <c r="E233" s="2" t="s">
        <v>130</v>
      </c>
      <c r="F233" s="2" t="s">
        <v>79</v>
      </c>
      <c r="G233" s="2" t="s">
        <v>35</v>
      </c>
      <c r="H233" s="2">
        <v>175</v>
      </c>
      <c r="I233" s="2">
        <v>114.9</v>
      </c>
      <c r="J233" s="2" t="s">
        <v>36</v>
      </c>
      <c r="K233" s="2" t="s">
        <v>19</v>
      </c>
      <c r="L233" s="2" t="s">
        <v>107</v>
      </c>
      <c r="M233" s="3">
        <v>44962</v>
      </c>
      <c r="N233" s="4">
        <f>Table1_3[[#This Row],[Admission_Date]]</f>
        <v>44962</v>
      </c>
      <c r="O233" s="5">
        <f>Table1_3[[#This Row],[Admission_Date]]</f>
        <v>44962</v>
      </c>
      <c r="P233" s="2">
        <v>39815.35</v>
      </c>
      <c r="Q233" s="2">
        <f t="shared" si="3"/>
        <v>83</v>
      </c>
      <c r="R233" s="2" t="s">
        <v>2521</v>
      </c>
      <c r="S233" s="2">
        <v>37.518367346938774</v>
      </c>
      <c r="T233" s="2" t="s">
        <v>2522</v>
      </c>
      <c r="U233" t="str">
        <f>INDEX(Table2[Doctor_Name],MATCH(Table1_3[[#This Row],[Department]],Table2[Department],0))</f>
        <v>Dr. Anita Sanchez</v>
      </c>
    </row>
    <row r="234" spans="1:21" x14ac:dyDescent="0.35">
      <c r="A234" s="2" t="s">
        <v>498</v>
      </c>
      <c r="B234" s="2" t="s">
        <v>499</v>
      </c>
      <c r="C234" s="2">
        <v>28</v>
      </c>
      <c r="D234" s="2" t="s">
        <v>52</v>
      </c>
      <c r="E234" s="2" t="s">
        <v>45</v>
      </c>
      <c r="F234" s="2" t="s">
        <v>134</v>
      </c>
      <c r="G234" s="2" t="s">
        <v>295</v>
      </c>
      <c r="H234" s="2">
        <v>152.19999999999999</v>
      </c>
      <c r="I234" s="2">
        <v>62</v>
      </c>
      <c r="J234" s="2" t="s">
        <v>19</v>
      </c>
      <c r="K234" s="2" t="s">
        <v>36</v>
      </c>
      <c r="L234" s="2" t="s">
        <v>175</v>
      </c>
      <c r="M234" s="3">
        <v>45047</v>
      </c>
      <c r="N234" s="4">
        <f>Table1_3[[#This Row],[Admission_Date]]</f>
        <v>45047</v>
      </c>
      <c r="O234" s="5">
        <f>Table1_3[[#This Row],[Admission_Date]]</f>
        <v>45047</v>
      </c>
      <c r="P234" s="2">
        <v>5722.95</v>
      </c>
      <c r="Q234" s="2">
        <f t="shared" si="3"/>
        <v>38</v>
      </c>
      <c r="R234" s="2" t="s">
        <v>2523</v>
      </c>
      <c r="S234" s="2">
        <v>26.764700295793112</v>
      </c>
      <c r="T234" s="2" t="s">
        <v>2526</v>
      </c>
      <c r="U234" t="str">
        <f>INDEX(Table2[Doctor_Name],MATCH(Table1_3[[#This Row],[Department]],Table2[Department],0))</f>
        <v>Dr. Arvind Wilson</v>
      </c>
    </row>
    <row r="235" spans="1:21" x14ac:dyDescent="0.35">
      <c r="A235" s="2" t="s">
        <v>662</v>
      </c>
      <c r="B235" s="2" t="s">
        <v>663</v>
      </c>
      <c r="C235" s="2">
        <v>24</v>
      </c>
      <c r="D235" s="2" t="s">
        <v>52</v>
      </c>
      <c r="E235" s="2" t="s">
        <v>45</v>
      </c>
      <c r="F235" s="2" t="s">
        <v>17</v>
      </c>
      <c r="G235" s="2" t="s">
        <v>191</v>
      </c>
      <c r="H235" s="2">
        <v>155</v>
      </c>
      <c r="I235" s="2">
        <v>121.2</v>
      </c>
      <c r="J235" s="2" t="s">
        <v>65</v>
      </c>
      <c r="K235" s="2" t="s">
        <v>19</v>
      </c>
      <c r="L235" s="2" t="s">
        <v>42</v>
      </c>
      <c r="M235" s="3">
        <v>45078</v>
      </c>
      <c r="N235" s="4">
        <f>Table1_3[[#This Row],[Admission_Date]]</f>
        <v>45078</v>
      </c>
      <c r="O235" s="5">
        <f>Table1_3[[#This Row],[Admission_Date]]</f>
        <v>45078</v>
      </c>
      <c r="P235" s="2">
        <v>16510.82</v>
      </c>
      <c r="Q235" s="2">
        <f t="shared" si="3"/>
        <v>45</v>
      </c>
      <c r="R235" s="2" t="s">
        <v>2527</v>
      </c>
      <c r="S235" s="2">
        <v>50.447450572320491</v>
      </c>
      <c r="T235" s="2" t="s">
        <v>2522</v>
      </c>
      <c r="U235" t="str">
        <f>INDEX(Table2[Doctor_Name],MATCH(Table1_3[[#This Row],[Department]],Table2[Department],0))</f>
        <v>Dr. Rahul Nair</v>
      </c>
    </row>
    <row r="236" spans="1:21" x14ac:dyDescent="0.35">
      <c r="A236" s="2" t="s">
        <v>433</v>
      </c>
      <c r="B236" s="2" t="s">
        <v>434</v>
      </c>
      <c r="C236" s="2">
        <v>51</v>
      </c>
      <c r="D236" s="2" t="s">
        <v>29</v>
      </c>
      <c r="E236" s="2" t="s">
        <v>111</v>
      </c>
      <c r="F236" s="2" t="s">
        <v>141</v>
      </c>
      <c r="G236" s="2" t="s">
        <v>280</v>
      </c>
      <c r="H236" s="2">
        <v>186.2</v>
      </c>
      <c r="I236" s="2" t="s">
        <v>2519</v>
      </c>
      <c r="J236" s="2" t="s">
        <v>65</v>
      </c>
      <c r="K236" s="2" t="s">
        <v>65</v>
      </c>
      <c r="L236" s="2" t="s">
        <v>199</v>
      </c>
      <c r="M236" s="3">
        <v>44752</v>
      </c>
      <c r="N236" s="4">
        <f>Table1_3[[#This Row],[Admission_Date]]</f>
        <v>44752</v>
      </c>
      <c r="O236" s="5">
        <f>Table1_3[[#This Row],[Admission_Date]]</f>
        <v>44752</v>
      </c>
      <c r="P236" s="2">
        <v>38690.39</v>
      </c>
      <c r="Q236" s="2">
        <f t="shared" si="3"/>
        <v>34</v>
      </c>
      <c r="R236" s="2" t="s">
        <v>2523</v>
      </c>
      <c r="S236" s="2" t="s">
        <v>36</v>
      </c>
      <c r="T236" s="2" t="s">
        <v>36</v>
      </c>
      <c r="U236" t="str">
        <f>INDEX(Table2[Doctor_Name],MATCH(Table1_3[[#This Row],[Department]],Table2[Department],0))</f>
        <v>Dr. Vikram Torres</v>
      </c>
    </row>
    <row r="237" spans="1:21" x14ac:dyDescent="0.35">
      <c r="A237" s="2" t="s">
        <v>1240</v>
      </c>
      <c r="B237" s="2" t="s">
        <v>1241</v>
      </c>
      <c r="C237" s="2">
        <v>13</v>
      </c>
      <c r="D237" s="2" t="s">
        <v>29</v>
      </c>
      <c r="E237" s="2" t="s">
        <v>230</v>
      </c>
      <c r="F237" s="2" t="s">
        <v>17</v>
      </c>
      <c r="G237" s="2" t="s">
        <v>208</v>
      </c>
      <c r="H237" s="2">
        <v>192</v>
      </c>
      <c r="I237" s="2">
        <v>113</v>
      </c>
      <c r="J237" s="2" t="s">
        <v>36</v>
      </c>
      <c r="K237" s="2" t="s">
        <v>19</v>
      </c>
      <c r="L237" s="2" t="s">
        <v>2537</v>
      </c>
      <c r="M237" s="3">
        <v>44642</v>
      </c>
      <c r="N237" s="4">
        <f>Table1_3[[#This Row],[Admission_Date]]</f>
        <v>44642</v>
      </c>
      <c r="O237" s="5">
        <f>Table1_3[[#This Row],[Admission_Date]]</f>
        <v>44642</v>
      </c>
      <c r="P237" s="2">
        <v>4321.4799999999996</v>
      </c>
      <c r="Q237" s="2">
        <f t="shared" si="3"/>
        <v>30</v>
      </c>
      <c r="R237" s="2" t="s">
        <v>2521</v>
      </c>
      <c r="S237" s="2">
        <v>30.653211805555557</v>
      </c>
      <c r="T237" s="2" t="s">
        <v>2522</v>
      </c>
      <c r="U237" t="str">
        <f>INDEX(Table2[Doctor_Name],MATCH(Table1_3[[#This Row],[Department]],Table2[Department],0))</f>
        <v>Dr. Sunita Zhang</v>
      </c>
    </row>
    <row r="238" spans="1:21" x14ac:dyDescent="0.35">
      <c r="A238" s="2" t="s">
        <v>685</v>
      </c>
      <c r="B238" s="2" t="s">
        <v>149</v>
      </c>
      <c r="C238" s="2">
        <v>83</v>
      </c>
      <c r="D238" s="2" t="s">
        <v>29</v>
      </c>
      <c r="E238" s="2" t="s">
        <v>146</v>
      </c>
      <c r="F238" s="2" t="s">
        <v>2518</v>
      </c>
      <c r="G238" s="2" t="s">
        <v>80</v>
      </c>
      <c r="H238" s="2">
        <v>189</v>
      </c>
      <c r="I238" s="2">
        <v>113.5</v>
      </c>
      <c r="J238" s="2" t="s">
        <v>65</v>
      </c>
      <c r="K238" s="2" t="s">
        <v>65</v>
      </c>
      <c r="L238" s="2" t="s">
        <v>55</v>
      </c>
      <c r="M238" s="3">
        <v>44220</v>
      </c>
      <c r="N238" s="4">
        <f>Table1_3[[#This Row],[Admission_Date]]</f>
        <v>44220</v>
      </c>
      <c r="O238" s="5">
        <f>Table1_3[[#This Row],[Admission_Date]]</f>
        <v>44220</v>
      </c>
      <c r="P238" s="2">
        <v>38982.22</v>
      </c>
      <c r="Q238" s="2">
        <f t="shared" si="3"/>
        <v>42</v>
      </c>
      <c r="R238" s="2" t="s">
        <v>2525</v>
      </c>
      <c r="S238" s="2">
        <v>31.774026483021192</v>
      </c>
      <c r="T238" s="2" t="s">
        <v>2522</v>
      </c>
      <c r="U238" t="str">
        <f>INDEX(Table2[Doctor_Name],MATCH(Table1_3[[#This Row],[Department]],Table2[Department],0))</f>
        <v>Dr. Sunita Sanchez</v>
      </c>
    </row>
    <row r="239" spans="1:21" x14ac:dyDescent="0.35">
      <c r="A239" s="2" t="s">
        <v>414</v>
      </c>
      <c r="B239" s="2" t="s">
        <v>1111</v>
      </c>
      <c r="C239" s="2">
        <v>29</v>
      </c>
      <c r="D239" s="2" t="s">
        <v>29</v>
      </c>
      <c r="E239" s="2" t="s">
        <v>146</v>
      </c>
      <c r="F239" s="2" t="s">
        <v>2518</v>
      </c>
      <c r="G239" s="2" t="s">
        <v>60</v>
      </c>
      <c r="H239" s="2">
        <v>170.9</v>
      </c>
      <c r="I239" s="2">
        <v>66.099999999999994</v>
      </c>
      <c r="J239" s="2" t="s">
        <v>19</v>
      </c>
      <c r="K239" s="2" t="s">
        <v>19</v>
      </c>
      <c r="L239" s="2" t="s">
        <v>107</v>
      </c>
      <c r="M239" s="3">
        <v>44366</v>
      </c>
      <c r="N239" s="4">
        <f>Table1_3[[#This Row],[Admission_Date]]</f>
        <v>44366</v>
      </c>
      <c r="O239" s="5">
        <f>Table1_3[[#This Row],[Admission_Date]]</f>
        <v>44366</v>
      </c>
      <c r="P239" s="2">
        <v>0</v>
      </c>
      <c r="Q239" s="2">
        <f t="shared" si="3"/>
        <v>83</v>
      </c>
      <c r="R239" s="2" t="s">
        <v>2523</v>
      </c>
      <c r="S239" s="2">
        <v>22.631708152995824</v>
      </c>
      <c r="T239" s="2" t="s">
        <v>1567</v>
      </c>
      <c r="U239" t="str">
        <f>INDEX(Table2[Doctor_Name],MATCH(Table1_3[[#This Row],[Department]],Table2[Department],0))</f>
        <v>Dr. Anita Sanchez</v>
      </c>
    </row>
    <row r="240" spans="1:21" x14ac:dyDescent="0.35">
      <c r="A240" s="2" t="s">
        <v>1042</v>
      </c>
      <c r="B240" s="2" t="s">
        <v>1043</v>
      </c>
      <c r="C240" s="2">
        <v>18</v>
      </c>
      <c r="D240" s="2" t="s">
        <v>138</v>
      </c>
      <c r="E240" s="2" t="s">
        <v>84</v>
      </c>
      <c r="F240" s="2" t="s">
        <v>2518</v>
      </c>
      <c r="G240" s="2" t="s">
        <v>160</v>
      </c>
      <c r="H240" s="2">
        <v>149</v>
      </c>
      <c r="I240" s="2">
        <v>64</v>
      </c>
      <c r="J240" s="2" t="s">
        <v>65</v>
      </c>
      <c r="K240" s="2" t="s">
        <v>36</v>
      </c>
      <c r="L240" s="2" t="s">
        <v>86</v>
      </c>
      <c r="M240" s="3">
        <v>44262</v>
      </c>
      <c r="N240" s="4">
        <f>Table1_3[[#This Row],[Admission_Date]]</f>
        <v>44262</v>
      </c>
      <c r="O240" s="5">
        <f>Table1_3[[#This Row],[Admission_Date]]</f>
        <v>44262</v>
      </c>
      <c r="P240" s="2">
        <v>33751.5</v>
      </c>
      <c r="Q240" s="2">
        <f t="shared" si="3"/>
        <v>35</v>
      </c>
      <c r="R240" s="2" t="s">
        <v>2521</v>
      </c>
      <c r="S240" s="2">
        <v>28.827530291428314</v>
      </c>
      <c r="T240" s="2" t="s">
        <v>2526</v>
      </c>
      <c r="U240" t="str">
        <f>INDEX(Table2[Doctor_Name],MATCH(Table1_3[[#This Row],[Department]],Table2[Department],0))</f>
        <v>Dr. Meera Torres</v>
      </c>
    </row>
    <row r="241" spans="1:21" x14ac:dyDescent="0.35">
      <c r="A241" s="2" t="s">
        <v>931</v>
      </c>
      <c r="B241" s="2" t="s">
        <v>932</v>
      </c>
      <c r="C241" s="2">
        <v>45</v>
      </c>
      <c r="D241" s="2" t="s">
        <v>52</v>
      </c>
      <c r="E241" s="2" t="s">
        <v>230</v>
      </c>
      <c r="F241" s="2" t="s">
        <v>17</v>
      </c>
      <c r="G241" s="2" t="s">
        <v>60</v>
      </c>
      <c r="H241" s="2">
        <v>163</v>
      </c>
      <c r="I241" s="2">
        <v>58</v>
      </c>
      <c r="J241" s="2" t="s">
        <v>19</v>
      </c>
      <c r="K241" s="2" t="s">
        <v>36</v>
      </c>
      <c r="L241" s="2" t="s">
        <v>199</v>
      </c>
      <c r="M241" s="3">
        <v>44372</v>
      </c>
      <c r="N241" s="4">
        <f>Table1_3[[#This Row],[Admission_Date]]</f>
        <v>44372</v>
      </c>
      <c r="O241" s="5">
        <f>Table1_3[[#This Row],[Admission_Date]]</f>
        <v>44372</v>
      </c>
      <c r="P241" s="2">
        <v>37109.29</v>
      </c>
      <c r="Q241" s="2">
        <f t="shared" si="3"/>
        <v>34</v>
      </c>
      <c r="R241" s="2" t="s">
        <v>2523</v>
      </c>
      <c r="S241" s="2">
        <v>21.829952199932254</v>
      </c>
      <c r="T241" s="2" t="s">
        <v>1567</v>
      </c>
      <c r="U241" t="str">
        <f>INDEX(Table2[Doctor_Name],MATCH(Table1_3[[#This Row],[Department]],Table2[Department],0))</f>
        <v>Dr. Vikram Torres</v>
      </c>
    </row>
    <row r="242" spans="1:21" x14ac:dyDescent="0.35">
      <c r="A242" s="2" t="s">
        <v>1362</v>
      </c>
      <c r="B242" s="2" t="s">
        <v>1363</v>
      </c>
      <c r="C242" s="2">
        <v>40</v>
      </c>
      <c r="D242" s="2" t="s">
        <v>138</v>
      </c>
      <c r="E242" s="2" t="s">
        <v>16</v>
      </c>
      <c r="F242" s="2" t="s">
        <v>273</v>
      </c>
      <c r="G242" s="2" t="s">
        <v>102</v>
      </c>
      <c r="H242" s="2">
        <v>189.8</v>
      </c>
      <c r="I242" s="2">
        <v>107.5</v>
      </c>
      <c r="J242" s="2" t="s">
        <v>36</v>
      </c>
      <c r="K242" s="2" t="s">
        <v>36</v>
      </c>
      <c r="L242" s="2" t="s">
        <v>69</v>
      </c>
      <c r="M242" s="3">
        <v>44379</v>
      </c>
      <c r="N242" s="4">
        <f>Table1_3[[#This Row],[Admission_Date]]</f>
        <v>44379</v>
      </c>
      <c r="O242" s="5">
        <f>Table1_3[[#This Row],[Admission_Date]]</f>
        <v>44379</v>
      </c>
      <c r="P242" s="2">
        <v>29358.74</v>
      </c>
      <c r="Q242" s="2">
        <f t="shared" si="3"/>
        <v>107</v>
      </c>
      <c r="R242" s="2" t="s">
        <v>2523</v>
      </c>
      <c r="S242" s="2">
        <v>29.841183831685726</v>
      </c>
      <c r="T242" s="2" t="s">
        <v>2526</v>
      </c>
      <c r="U242" t="str">
        <f>INDEX(Table2[Doctor_Name],MATCH(Table1_3[[#This Row],[Department]],Table2[Department],0))</f>
        <v>Dr. Vikram Wang</v>
      </c>
    </row>
    <row r="243" spans="1:21" x14ac:dyDescent="0.35">
      <c r="A243" s="2" t="s">
        <v>495</v>
      </c>
      <c r="B243" s="2" t="s">
        <v>496</v>
      </c>
      <c r="C243" s="2">
        <v>7</v>
      </c>
      <c r="D243" s="2" t="s">
        <v>138</v>
      </c>
      <c r="E243" s="2" t="s">
        <v>24</v>
      </c>
      <c r="F243" s="2" t="s">
        <v>273</v>
      </c>
      <c r="G243" s="2" t="s">
        <v>80</v>
      </c>
      <c r="H243" s="2">
        <v>183</v>
      </c>
      <c r="I243" s="2">
        <v>41.7</v>
      </c>
      <c r="J243" s="2" t="s">
        <v>65</v>
      </c>
      <c r="K243" s="2" t="s">
        <v>19</v>
      </c>
      <c r="L243" s="2" t="s">
        <v>175</v>
      </c>
      <c r="M243" s="3">
        <v>44400</v>
      </c>
      <c r="N243" s="4">
        <f>Table1_3[[#This Row],[Admission_Date]]</f>
        <v>44400</v>
      </c>
      <c r="O243" s="5">
        <f>Table1_3[[#This Row],[Admission_Date]]</f>
        <v>44400</v>
      </c>
      <c r="P243" s="2">
        <v>24490.78</v>
      </c>
      <c r="Q243" s="2">
        <f t="shared" si="3"/>
        <v>38</v>
      </c>
      <c r="R243" s="2" t="s">
        <v>2521</v>
      </c>
      <c r="S243" s="2">
        <v>12.451849861148435</v>
      </c>
      <c r="T243" s="2" t="s">
        <v>2524</v>
      </c>
      <c r="U243" t="str">
        <f>INDEX(Table2[Doctor_Name],MATCH(Table1_3[[#This Row],[Department]],Table2[Department],0))</f>
        <v>Dr. Arvind Wilson</v>
      </c>
    </row>
    <row r="244" spans="1:21" x14ac:dyDescent="0.35">
      <c r="A244" s="2" t="s">
        <v>853</v>
      </c>
      <c r="B244" s="2" t="s">
        <v>854</v>
      </c>
      <c r="C244" s="2" t="s">
        <v>2519</v>
      </c>
      <c r="D244" s="2" t="s">
        <v>138</v>
      </c>
      <c r="E244" s="2" t="s">
        <v>78</v>
      </c>
      <c r="F244" s="2" t="s">
        <v>79</v>
      </c>
      <c r="G244" s="2" t="s">
        <v>102</v>
      </c>
      <c r="H244" s="2">
        <v>179</v>
      </c>
      <c r="I244" s="2">
        <v>71.7</v>
      </c>
      <c r="J244" s="2" t="s">
        <v>65</v>
      </c>
      <c r="K244" s="2" t="s">
        <v>19</v>
      </c>
      <c r="L244" s="2" t="s">
        <v>107</v>
      </c>
      <c r="M244" s="3">
        <v>44323</v>
      </c>
      <c r="N244" s="4">
        <f>Table1_3[[#This Row],[Admission_Date]]</f>
        <v>44323</v>
      </c>
      <c r="O244" s="5">
        <f>Table1_3[[#This Row],[Admission_Date]]</f>
        <v>44323</v>
      </c>
      <c r="P244" s="2">
        <v>13255.13</v>
      </c>
      <c r="Q244" s="2">
        <f t="shared" si="3"/>
        <v>83</v>
      </c>
      <c r="R244" s="2" t="s">
        <v>36</v>
      </c>
      <c r="S244" s="2">
        <v>22.377578727255706</v>
      </c>
      <c r="T244" s="2" t="s">
        <v>1567</v>
      </c>
      <c r="U244" t="str">
        <f>INDEX(Table2[Doctor_Name],MATCH(Table1_3[[#This Row],[Department]],Table2[Department],0))</f>
        <v>Dr. Anita Sanchez</v>
      </c>
    </row>
    <row r="245" spans="1:21" x14ac:dyDescent="0.35">
      <c r="A245" s="2" t="s">
        <v>680</v>
      </c>
      <c r="B245" s="2" t="s">
        <v>2443</v>
      </c>
      <c r="C245" s="2">
        <v>51</v>
      </c>
      <c r="D245" s="2" t="s">
        <v>29</v>
      </c>
      <c r="E245" s="2" t="s">
        <v>89</v>
      </c>
      <c r="F245" s="2" t="s">
        <v>79</v>
      </c>
      <c r="G245" s="2" t="s">
        <v>295</v>
      </c>
      <c r="H245" s="2">
        <v>185</v>
      </c>
      <c r="I245" s="2">
        <v>91.6</v>
      </c>
      <c r="J245" s="2" t="s">
        <v>19</v>
      </c>
      <c r="K245" s="2" t="s">
        <v>65</v>
      </c>
      <c r="L245" s="2" t="s">
        <v>107</v>
      </c>
      <c r="M245" s="3">
        <v>45176</v>
      </c>
      <c r="N245" s="4">
        <f>Table1_3[[#This Row],[Admission_Date]]</f>
        <v>45176</v>
      </c>
      <c r="O245" s="5">
        <f>Table1_3[[#This Row],[Admission_Date]]</f>
        <v>45176</v>
      </c>
      <c r="P245" s="2">
        <v>7022.72</v>
      </c>
      <c r="Q245" s="2">
        <f t="shared" si="3"/>
        <v>83</v>
      </c>
      <c r="R245" s="2" t="s">
        <v>2523</v>
      </c>
      <c r="S245" s="2">
        <v>26.764061358655947</v>
      </c>
      <c r="T245" s="2" t="s">
        <v>2526</v>
      </c>
      <c r="U245" t="str">
        <f>INDEX(Table2[Doctor_Name],MATCH(Table1_3[[#This Row],[Department]],Table2[Department],0))</f>
        <v>Dr. Anita Sanchez</v>
      </c>
    </row>
    <row r="246" spans="1:21" x14ac:dyDescent="0.35">
      <c r="A246" s="2" t="s">
        <v>1146</v>
      </c>
      <c r="B246" s="2" t="s">
        <v>1147</v>
      </c>
      <c r="C246" s="2">
        <v>68</v>
      </c>
      <c r="D246" s="2" t="s">
        <v>29</v>
      </c>
      <c r="E246" s="2" t="s">
        <v>217</v>
      </c>
      <c r="F246" s="2" t="s">
        <v>17</v>
      </c>
      <c r="G246" s="2" t="s">
        <v>54</v>
      </c>
      <c r="H246" s="2">
        <v>181</v>
      </c>
      <c r="I246" s="2" t="s">
        <v>2519</v>
      </c>
      <c r="J246" s="2" t="s">
        <v>36</v>
      </c>
      <c r="K246" s="2" t="s">
        <v>65</v>
      </c>
      <c r="L246" s="2" t="s">
        <v>69</v>
      </c>
      <c r="M246" s="3">
        <v>44847</v>
      </c>
      <c r="N246" s="4">
        <f>Table1_3[[#This Row],[Admission_Date]]</f>
        <v>44847</v>
      </c>
      <c r="O246" s="5">
        <f>Table1_3[[#This Row],[Admission_Date]]</f>
        <v>44847</v>
      </c>
      <c r="P246" s="2">
        <v>36490.44</v>
      </c>
      <c r="Q246" s="2">
        <f t="shared" si="3"/>
        <v>107</v>
      </c>
      <c r="R246" s="2" t="s">
        <v>2525</v>
      </c>
      <c r="S246" s="2" t="s">
        <v>36</v>
      </c>
      <c r="T246" s="2" t="s">
        <v>36</v>
      </c>
      <c r="U246" t="str">
        <f>INDEX(Table2[Doctor_Name],MATCH(Table1_3[[#This Row],[Department]],Table2[Department],0))</f>
        <v>Dr. Vikram Wang</v>
      </c>
    </row>
    <row r="247" spans="1:21" x14ac:dyDescent="0.35">
      <c r="A247" s="2" t="s">
        <v>333</v>
      </c>
      <c r="B247" s="2" t="s">
        <v>334</v>
      </c>
      <c r="C247" s="2">
        <v>82</v>
      </c>
      <c r="D247" s="2" t="s">
        <v>138</v>
      </c>
      <c r="E247" s="2" t="s">
        <v>53</v>
      </c>
      <c r="F247" s="2" t="s">
        <v>17</v>
      </c>
      <c r="G247" s="2" t="s">
        <v>36</v>
      </c>
      <c r="H247" s="2">
        <v>153.6</v>
      </c>
      <c r="I247" s="2">
        <v>95.1</v>
      </c>
      <c r="J247" s="2" t="s">
        <v>36</v>
      </c>
      <c r="K247" s="2" t="s">
        <v>65</v>
      </c>
      <c r="L247" s="2" t="s">
        <v>2537</v>
      </c>
      <c r="M247" s="3">
        <v>44669</v>
      </c>
      <c r="N247" s="4">
        <f>Table1_3[[#This Row],[Admission_Date]]</f>
        <v>44669</v>
      </c>
      <c r="O247" s="5">
        <f>Table1_3[[#This Row],[Admission_Date]]</f>
        <v>44669</v>
      </c>
      <c r="P247" s="2">
        <v>11993.04</v>
      </c>
      <c r="Q247" s="2">
        <f t="shared" si="3"/>
        <v>30</v>
      </c>
      <c r="R247" s="2" t="s">
        <v>2525</v>
      </c>
      <c r="S247" s="2">
        <v>40.308634440104164</v>
      </c>
      <c r="T247" s="2" t="s">
        <v>2522</v>
      </c>
      <c r="U247" t="str">
        <f>INDEX(Table2[Doctor_Name],MATCH(Table1_3[[#This Row],[Department]],Table2[Department],0))</f>
        <v>Dr. Sunita Zhang</v>
      </c>
    </row>
    <row r="248" spans="1:21" x14ac:dyDescent="0.35">
      <c r="A248" s="2" t="s">
        <v>870</v>
      </c>
      <c r="B248" s="2" t="s">
        <v>871</v>
      </c>
      <c r="C248" s="2">
        <v>92</v>
      </c>
      <c r="D248" s="2" t="s">
        <v>29</v>
      </c>
      <c r="E248" s="2" t="s">
        <v>146</v>
      </c>
      <c r="F248" s="2" t="s">
        <v>120</v>
      </c>
      <c r="G248" s="2" t="s">
        <v>35</v>
      </c>
      <c r="H248" s="2">
        <v>146</v>
      </c>
      <c r="I248" s="2">
        <v>43</v>
      </c>
      <c r="J248" s="2" t="s">
        <v>19</v>
      </c>
      <c r="K248" s="2" t="s">
        <v>19</v>
      </c>
      <c r="L248" s="2" t="s">
        <v>226</v>
      </c>
      <c r="M248" s="3">
        <v>44612</v>
      </c>
      <c r="N248" s="4">
        <f>Table1_3[[#This Row],[Admission_Date]]</f>
        <v>44612</v>
      </c>
      <c r="O248" s="5">
        <f>Table1_3[[#This Row],[Admission_Date]]</f>
        <v>44612</v>
      </c>
      <c r="P248" s="2">
        <v>3773.75</v>
      </c>
      <c r="Q248" s="2">
        <f t="shared" si="3"/>
        <v>35</v>
      </c>
      <c r="R248" s="2" t="s">
        <v>2525</v>
      </c>
      <c r="S248" s="2">
        <v>20.172640270219556</v>
      </c>
      <c r="T248" s="2" t="s">
        <v>1567</v>
      </c>
      <c r="U248" t="str">
        <f>INDEX(Table2[Doctor_Name],MATCH(Table1_3[[#This Row],[Department]],Table2[Department],0))</f>
        <v>Dr. Vikram Khan</v>
      </c>
    </row>
    <row r="249" spans="1:21" x14ac:dyDescent="0.35">
      <c r="A249" s="2" t="s">
        <v>1027</v>
      </c>
      <c r="B249" s="2" t="s">
        <v>1028</v>
      </c>
      <c r="C249" s="2">
        <v>55</v>
      </c>
      <c r="D249" s="2" t="s">
        <v>29</v>
      </c>
      <c r="E249" s="2" t="s">
        <v>130</v>
      </c>
      <c r="F249" s="2" t="s">
        <v>141</v>
      </c>
      <c r="G249" s="2" t="s">
        <v>124</v>
      </c>
      <c r="H249" s="2">
        <v>191.3</v>
      </c>
      <c r="I249" s="2">
        <v>125</v>
      </c>
      <c r="J249" s="2" t="s">
        <v>19</v>
      </c>
      <c r="K249" s="2" t="s">
        <v>65</v>
      </c>
      <c r="L249" s="2" t="s">
        <v>31</v>
      </c>
      <c r="M249" s="3">
        <v>45132</v>
      </c>
      <c r="N249" s="4">
        <f>Table1_3[[#This Row],[Admission_Date]]</f>
        <v>45132</v>
      </c>
      <c r="O249" s="5">
        <f>Table1_3[[#This Row],[Admission_Date]]</f>
        <v>45132</v>
      </c>
      <c r="P249" s="2">
        <v>43950.11</v>
      </c>
      <c r="Q249" s="2">
        <f t="shared" si="3"/>
        <v>37</v>
      </c>
      <c r="R249" s="2" t="s">
        <v>2523</v>
      </c>
      <c r="S249" s="2">
        <v>34.157027781140343</v>
      </c>
      <c r="T249" s="2" t="s">
        <v>2522</v>
      </c>
      <c r="U249" t="str">
        <f>INDEX(Table2[Doctor_Name],MATCH(Table1_3[[#This Row],[Department]],Table2[Department],0))</f>
        <v>Dr. Arvind Chen</v>
      </c>
    </row>
    <row r="250" spans="1:21" x14ac:dyDescent="0.35">
      <c r="A250" s="2" t="s">
        <v>1126</v>
      </c>
      <c r="B250" s="2" t="s">
        <v>1127</v>
      </c>
      <c r="C250" s="2">
        <v>7</v>
      </c>
      <c r="D250" s="2" t="s">
        <v>138</v>
      </c>
      <c r="E250" s="2" t="s">
        <v>59</v>
      </c>
      <c r="F250" s="2" t="s">
        <v>2517</v>
      </c>
      <c r="G250" s="2" t="s">
        <v>102</v>
      </c>
      <c r="H250" s="2">
        <v>169.5</v>
      </c>
      <c r="I250" s="2">
        <v>78</v>
      </c>
      <c r="J250" s="2" t="s">
        <v>36</v>
      </c>
      <c r="K250" s="2" t="s">
        <v>19</v>
      </c>
      <c r="L250" s="2" t="s">
        <v>86</v>
      </c>
      <c r="M250" s="3">
        <v>44488</v>
      </c>
      <c r="N250" s="4">
        <f>Table1_3[[#This Row],[Admission_Date]]</f>
        <v>44488</v>
      </c>
      <c r="O250" s="5">
        <f>Table1_3[[#This Row],[Admission_Date]]</f>
        <v>44488</v>
      </c>
      <c r="P250" s="2">
        <v>41579.730000000003</v>
      </c>
      <c r="Q250" s="2">
        <f t="shared" si="3"/>
        <v>35</v>
      </c>
      <c r="R250" s="2" t="s">
        <v>2521</v>
      </c>
      <c r="S250" s="2">
        <v>27.149085023624924</v>
      </c>
      <c r="T250" s="2" t="s">
        <v>2526</v>
      </c>
      <c r="U250" t="str">
        <f>INDEX(Table2[Doctor_Name],MATCH(Table1_3[[#This Row],[Department]],Table2[Department],0))</f>
        <v>Dr. Meera Torres</v>
      </c>
    </row>
    <row r="251" spans="1:21" x14ac:dyDescent="0.35">
      <c r="A251" s="2" t="s">
        <v>882</v>
      </c>
      <c r="B251" s="2" t="s">
        <v>791</v>
      </c>
      <c r="C251" s="2">
        <v>18</v>
      </c>
      <c r="D251" s="2" t="s">
        <v>29</v>
      </c>
      <c r="E251" s="2" t="s">
        <v>217</v>
      </c>
      <c r="F251" s="2" t="s">
        <v>17</v>
      </c>
      <c r="G251" s="2" t="s">
        <v>60</v>
      </c>
      <c r="H251" s="2">
        <v>157</v>
      </c>
      <c r="I251" s="2">
        <v>121</v>
      </c>
      <c r="J251" s="2" t="s">
        <v>65</v>
      </c>
      <c r="K251" s="2" t="s">
        <v>65</v>
      </c>
      <c r="L251" s="2" t="s">
        <v>107</v>
      </c>
      <c r="M251" s="3">
        <v>44860</v>
      </c>
      <c r="N251" s="4">
        <f>Table1_3[[#This Row],[Admission_Date]]</f>
        <v>44860</v>
      </c>
      <c r="O251" s="5">
        <f>Table1_3[[#This Row],[Admission_Date]]</f>
        <v>44860</v>
      </c>
      <c r="P251" s="2">
        <v>32604.53</v>
      </c>
      <c r="Q251" s="2">
        <f t="shared" si="3"/>
        <v>83</v>
      </c>
      <c r="R251" s="2" t="s">
        <v>2521</v>
      </c>
      <c r="S251" s="2">
        <v>49.089212544119434</v>
      </c>
      <c r="T251" s="2" t="s">
        <v>2522</v>
      </c>
      <c r="U251" t="str">
        <f>INDEX(Table2[Doctor_Name],MATCH(Table1_3[[#This Row],[Department]],Table2[Department],0))</f>
        <v>Dr. Anita Sanchez</v>
      </c>
    </row>
    <row r="252" spans="1:21" x14ac:dyDescent="0.35">
      <c r="A252" s="2" t="s">
        <v>579</v>
      </c>
      <c r="B252" s="2" t="s">
        <v>580</v>
      </c>
      <c r="C252" s="2">
        <v>11</v>
      </c>
      <c r="D252" s="2" t="s">
        <v>52</v>
      </c>
      <c r="E252" s="2" t="s">
        <v>89</v>
      </c>
      <c r="F252" s="2" t="s">
        <v>2518</v>
      </c>
      <c r="G252" s="2" t="s">
        <v>295</v>
      </c>
      <c r="H252" s="2">
        <v>159</v>
      </c>
      <c r="I252" s="2">
        <v>74</v>
      </c>
      <c r="J252" s="2" t="s">
        <v>65</v>
      </c>
      <c r="K252" s="2" t="s">
        <v>65</v>
      </c>
      <c r="L252" s="2" t="s">
        <v>199</v>
      </c>
      <c r="M252" s="3">
        <v>44504</v>
      </c>
      <c r="N252" s="4">
        <f>Table1_3[[#This Row],[Admission_Date]]</f>
        <v>44504</v>
      </c>
      <c r="O252" s="5">
        <f>Table1_3[[#This Row],[Admission_Date]]</f>
        <v>44504</v>
      </c>
      <c r="P252" s="2">
        <v>43506.52</v>
      </c>
      <c r="Q252" s="2">
        <f t="shared" si="3"/>
        <v>34</v>
      </c>
      <c r="R252" s="2" t="s">
        <v>2521</v>
      </c>
      <c r="S252" s="2">
        <v>29.270994027135</v>
      </c>
      <c r="T252" s="2" t="s">
        <v>2526</v>
      </c>
      <c r="U252" t="str">
        <f>INDEX(Table2[Doctor_Name],MATCH(Table1_3[[#This Row],[Department]],Table2[Department],0))</f>
        <v>Dr. Vikram Torres</v>
      </c>
    </row>
    <row r="253" spans="1:21" x14ac:dyDescent="0.35">
      <c r="A253" s="2" t="s">
        <v>33</v>
      </c>
      <c r="B253" s="2" t="s">
        <v>34</v>
      </c>
      <c r="C253" s="2">
        <v>17</v>
      </c>
      <c r="D253" s="2" t="s">
        <v>138</v>
      </c>
      <c r="E253" s="2" t="s">
        <v>24</v>
      </c>
      <c r="F253" s="2" t="s">
        <v>273</v>
      </c>
      <c r="G253" s="2" t="s">
        <v>35</v>
      </c>
      <c r="H253" s="2">
        <v>191</v>
      </c>
      <c r="I253" s="2">
        <v>84</v>
      </c>
      <c r="J253" s="2" t="s">
        <v>36</v>
      </c>
      <c r="K253" s="2" t="s">
        <v>36</v>
      </c>
      <c r="L253" s="2" t="s">
        <v>31</v>
      </c>
      <c r="M253" s="3">
        <v>45126</v>
      </c>
      <c r="N253" s="4">
        <f>Table1_3[[#This Row],[Admission_Date]]</f>
        <v>45126</v>
      </c>
      <c r="O253" s="5">
        <f>Table1_3[[#This Row],[Admission_Date]]</f>
        <v>45126</v>
      </c>
      <c r="P253" s="2">
        <v>22372.83</v>
      </c>
      <c r="Q253" s="2">
        <f t="shared" si="3"/>
        <v>37</v>
      </c>
      <c r="R253" s="2" t="s">
        <v>2521</v>
      </c>
      <c r="S253" s="2">
        <v>23.025684602944001</v>
      </c>
      <c r="T253" s="2" t="s">
        <v>1567</v>
      </c>
      <c r="U253" t="str">
        <f>INDEX(Table2[Doctor_Name],MATCH(Table1_3[[#This Row],[Department]],Table2[Department],0))</f>
        <v>Dr. Arvind Chen</v>
      </c>
    </row>
    <row r="254" spans="1:21" x14ac:dyDescent="0.35">
      <c r="A254" s="2" t="s">
        <v>1012</v>
      </c>
      <c r="B254" s="2" t="s">
        <v>1013</v>
      </c>
      <c r="C254" s="2">
        <v>27</v>
      </c>
      <c r="D254" s="2" t="s">
        <v>29</v>
      </c>
      <c r="E254" s="2" t="s">
        <v>73</v>
      </c>
      <c r="F254" s="2" t="s">
        <v>17</v>
      </c>
      <c r="G254" s="2" t="s">
        <v>208</v>
      </c>
      <c r="H254" s="2">
        <v>150</v>
      </c>
      <c r="I254" s="2">
        <v>115.4</v>
      </c>
      <c r="J254" s="2" t="s">
        <v>65</v>
      </c>
      <c r="K254" s="2" t="s">
        <v>65</v>
      </c>
      <c r="L254" s="2" t="s">
        <v>69</v>
      </c>
      <c r="M254" s="3">
        <v>44538</v>
      </c>
      <c r="N254" s="4">
        <f>Table1_3[[#This Row],[Admission_Date]]</f>
        <v>44538</v>
      </c>
      <c r="O254" s="5">
        <f>Table1_3[[#This Row],[Admission_Date]]</f>
        <v>44538</v>
      </c>
      <c r="P254" s="2">
        <v>49689.89</v>
      </c>
      <c r="Q254" s="2">
        <f t="shared" si="3"/>
        <v>1</v>
      </c>
      <c r="R254" s="2" t="s">
        <v>2523</v>
      </c>
      <c r="S254" s="2">
        <v>51.288888888888891</v>
      </c>
      <c r="T254" s="2" t="s">
        <v>2522</v>
      </c>
      <c r="U254" t="str">
        <f>INDEX(Table2[Doctor_Name],MATCH(Table1_3[[#This Row],[Department]],Table2[Department],0))</f>
        <v>Dr. Vikram Wang</v>
      </c>
    </row>
    <row r="255" spans="1:21" x14ac:dyDescent="0.35">
      <c r="A255" s="2" t="s">
        <v>540</v>
      </c>
      <c r="B255" s="2" t="s">
        <v>541</v>
      </c>
      <c r="C255" s="2">
        <v>59</v>
      </c>
      <c r="D255" s="2" t="s">
        <v>138</v>
      </c>
      <c r="E255" s="2" t="s">
        <v>115</v>
      </c>
      <c r="F255" s="2" t="s">
        <v>17</v>
      </c>
      <c r="G255" s="2" t="s">
        <v>208</v>
      </c>
      <c r="H255" s="2">
        <v>171</v>
      </c>
      <c r="I255" s="2">
        <v>121</v>
      </c>
      <c r="J255" s="2" t="s">
        <v>65</v>
      </c>
      <c r="K255" s="2" t="s">
        <v>19</v>
      </c>
      <c r="L255" s="2" t="s">
        <v>69</v>
      </c>
      <c r="M255" s="3">
        <v>44796</v>
      </c>
      <c r="N255" s="4">
        <f>Table1_3[[#This Row],[Admission_Date]]</f>
        <v>44796</v>
      </c>
      <c r="O255" s="5">
        <f>Table1_3[[#This Row],[Admission_Date]]</f>
        <v>44796</v>
      </c>
      <c r="P255" s="2">
        <v>7160.02</v>
      </c>
      <c r="Q255" s="2">
        <f t="shared" si="3"/>
        <v>107</v>
      </c>
      <c r="R255" s="2" t="s">
        <v>2523</v>
      </c>
      <c r="S255" s="2">
        <v>41.380253753291612</v>
      </c>
      <c r="T255" s="2" t="s">
        <v>2522</v>
      </c>
      <c r="U255" t="str">
        <f>INDEX(Table2[Doctor_Name],MATCH(Table1_3[[#This Row],[Department]],Table2[Department],0))</f>
        <v>Dr. Vikram Wang</v>
      </c>
    </row>
    <row r="256" spans="1:21" x14ac:dyDescent="0.35">
      <c r="A256" s="2" t="s">
        <v>573</v>
      </c>
      <c r="B256" s="2" t="s">
        <v>574</v>
      </c>
      <c r="C256" s="2">
        <v>14</v>
      </c>
      <c r="D256" s="2" t="s">
        <v>52</v>
      </c>
      <c r="E256" s="2" t="s">
        <v>111</v>
      </c>
      <c r="F256" s="2" t="s">
        <v>79</v>
      </c>
      <c r="G256" s="2" t="s">
        <v>160</v>
      </c>
      <c r="H256" s="2">
        <v>165</v>
      </c>
      <c r="I256" s="2">
        <v>116.3</v>
      </c>
      <c r="J256" s="2" t="s">
        <v>19</v>
      </c>
      <c r="K256" s="2" t="s">
        <v>65</v>
      </c>
      <c r="L256" s="2" t="s">
        <v>2537</v>
      </c>
      <c r="M256" s="3">
        <v>44921</v>
      </c>
      <c r="N256" s="4">
        <f>Table1_3[[#This Row],[Admission_Date]]</f>
        <v>44921</v>
      </c>
      <c r="O256" s="5">
        <f>Table1_3[[#This Row],[Admission_Date]]</f>
        <v>44921</v>
      </c>
      <c r="P256" s="2">
        <v>30907.35</v>
      </c>
      <c r="Q256" s="2">
        <f t="shared" si="3"/>
        <v>30</v>
      </c>
      <c r="R256" s="2" t="s">
        <v>2521</v>
      </c>
      <c r="S256" s="2">
        <v>42.718089990817269</v>
      </c>
      <c r="T256" s="2" t="s">
        <v>2522</v>
      </c>
      <c r="U256" t="str">
        <f>INDEX(Table2[Doctor_Name],MATCH(Table1_3[[#This Row],[Department]],Table2[Department],0))</f>
        <v>Dr. Sunita Zhang</v>
      </c>
    </row>
    <row r="257" spans="1:21" x14ac:dyDescent="0.35">
      <c r="A257" s="2" t="s">
        <v>1258</v>
      </c>
      <c r="B257" s="2" t="s">
        <v>2492</v>
      </c>
      <c r="C257" s="2">
        <v>25</v>
      </c>
      <c r="D257" s="2" t="s">
        <v>29</v>
      </c>
      <c r="E257" s="2" t="s">
        <v>45</v>
      </c>
      <c r="F257" s="2" t="s">
        <v>273</v>
      </c>
      <c r="G257" s="2" t="s">
        <v>60</v>
      </c>
      <c r="H257" s="2">
        <v>185</v>
      </c>
      <c r="I257" s="2">
        <v>129.9</v>
      </c>
      <c r="J257" s="2" t="s">
        <v>19</v>
      </c>
      <c r="K257" s="2" t="s">
        <v>65</v>
      </c>
      <c r="L257" s="2" t="s">
        <v>107</v>
      </c>
      <c r="M257" s="3">
        <v>44868</v>
      </c>
      <c r="N257" s="4">
        <f>Table1_3[[#This Row],[Admission_Date]]</f>
        <v>44868</v>
      </c>
      <c r="O257" s="5">
        <f>Table1_3[[#This Row],[Admission_Date]]</f>
        <v>44868</v>
      </c>
      <c r="P257" s="2">
        <v>32210.61</v>
      </c>
      <c r="Q257" s="2">
        <f t="shared" si="3"/>
        <v>83</v>
      </c>
      <c r="R257" s="2" t="s">
        <v>2527</v>
      </c>
      <c r="S257" s="2">
        <v>37.954711468224978</v>
      </c>
      <c r="T257" s="2" t="s">
        <v>2522</v>
      </c>
      <c r="U257" t="str">
        <f>INDEX(Table2[Doctor_Name],MATCH(Table1_3[[#This Row],[Department]],Table2[Department],0))</f>
        <v>Dr. Anita Sanchez</v>
      </c>
    </row>
    <row r="258" spans="1:21" x14ac:dyDescent="0.35">
      <c r="A258" s="2" t="s">
        <v>98</v>
      </c>
      <c r="B258" s="2" t="s">
        <v>99</v>
      </c>
      <c r="C258" s="2">
        <v>15</v>
      </c>
      <c r="D258" s="2" t="s">
        <v>29</v>
      </c>
      <c r="E258" s="2" t="s">
        <v>24</v>
      </c>
      <c r="F258" s="2" t="s">
        <v>17</v>
      </c>
      <c r="G258" s="2" t="s">
        <v>102</v>
      </c>
      <c r="H258" s="2">
        <v>175</v>
      </c>
      <c r="I258" s="2">
        <v>57.5</v>
      </c>
      <c r="J258" s="2" t="s">
        <v>36</v>
      </c>
      <c r="K258" s="2" t="s">
        <v>65</v>
      </c>
      <c r="L258" s="2" t="s">
        <v>86</v>
      </c>
      <c r="M258" s="3">
        <v>45168</v>
      </c>
      <c r="N258" s="4">
        <f>Table1_3[[#This Row],[Admission_Date]]</f>
        <v>45168</v>
      </c>
      <c r="O258" s="5">
        <f>Table1_3[[#This Row],[Admission_Date]]</f>
        <v>45168</v>
      </c>
      <c r="P258" s="2">
        <v>32459.78</v>
      </c>
      <c r="Q258" s="2">
        <f t="shared" ref="Q258:Q321" si="4">SUMPRODUCT(($L$2:$L$5000=L258)*($O$2:$O$5000&gt;P258))+1</f>
        <v>35</v>
      </c>
      <c r="R258" s="2" t="s">
        <v>2521</v>
      </c>
      <c r="S258" s="2">
        <v>18.775510204081634</v>
      </c>
      <c r="T258" s="2" t="s">
        <v>1567</v>
      </c>
      <c r="U258" t="str">
        <f>INDEX(Table2[Doctor_Name],MATCH(Table1_3[[#This Row],[Department]],Table2[Department],0))</f>
        <v>Dr. Meera Torres</v>
      </c>
    </row>
    <row r="259" spans="1:21" x14ac:dyDescent="0.35">
      <c r="A259" s="2" t="s">
        <v>696</v>
      </c>
      <c r="B259" s="2" t="s">
        <v>697</v>
      </c>
      <c r="C259" s="2">
        <v>8</v>
      </c>
      <c r="D259" s="2" t="s">
        <v>138</v>
      </c>
      <c r="E259" s="2" t="s">
        <v>78</v>
      </c>
      <c r="F259" s="2" t="s">
        <v>79</v>
      </c>
      <c r="G259" s="2" t="s">
        <v>74</v>
      </c>
      <c r="H259" s="2" t="s">
        <v>2519</v>
      </c>
      <c r="I259" s="2">
        <v>101.7</v>
      </c>
      <c r="J259" s="2" t="s">
        <v>65</v>
      </c>
      <c r="K259" s="2" t="s">
        <v>19</v>
      </c>
      <c r="L259" s="2" t="s">
        <v>107</v>
      </c>
      <c r="M259" s="3">
        <v>44319</v>
      </c>
      <c r="N259" s="4">
        <f>Table1_3[[#This Row],[Admission_Date]]</f>
        <v>44319</v>
      </c>
      <c r="O259" s="5">
        <f>Table1_3[[#This Row],[Admission_Date]]</f>
        <v>44319</v>
      </c>
      <c r="P259" s="2">
        <v>49189.13</v>
      </c>
      <c r="Q259" s="2">
        <f t="shared" si="4"/>
        <v>1</v>
      </c>
      <c r="R259" s="2" t="s">
        <v>2521</v>
      </c>
      <c r="S259" s="2" t="s">
        <v>36</v>
      </c>
      <c r="T259" s="2" t="s">
        <v>36</v>
      </c>
      <c r="U259" t="str">
        <f>INDEX(Table2[Doctor_Name],MATCH(Table1_3[[#This Row],[Department]],Table2[Department],0))</f>
        <v>Dr. Anita Sanchez</v>
      </c>
    </row>
    <row r="260" spans="1:21" x14ac:dyDescent="0.35">
      <c r="A260" s="2" t="s">
        <v>665</v>
      </c>
      <c r="B260" s="2" t="s">
        <v>666</v>
      </c>
      <c r="C260" s="2">
        <v>40</v>
      </c>
      <c r="D260" s="2" t="s">
        <v>138</v>
      </c>
      <c r="E260" s="2" t="s">
        <v>24</v>
      </c>
      <c r="F260" s="2" t="s">
        <v>141</v>
      </c>
      <c r="G260" s="2" t="s">
        <v>417</v>
      </c>
      <c r="H260" s="2">
        <v>187.4</v>
      </c>
      <c r="I260" s="2">
        <v>114.7</v>
      </c>
      <c r="J260" s="2" t="s">
        <v>65</v>
      </c>
      <c r="K260" s="2" t="s">
        <v>19</v>
      </c>
      <c r="L260" s="2" t="s">
        <v>107</v>
      </c>
      <c r="M260" s="3">
        <v>44555</v>
      </c>
      <c r="N260" s="4">
        <f>Table1_3[[#This Row],[Admission_Date]]</f>
        <v>44555</v>
      </c>
      <c r="O260" s="5">
        <f>Table1_3[[#This Row],[Admission_Date]]</f>
        <v>44555</v>
      </c>
      <c r="P260" s="2">
        <v>0</v>
      </c>
      <c r="Q260" s="2">
        <f t="shared" si="4"/>
        <v>83</v>
      </c>
      <c r="R260" s="2" t="s">
        <v>2523</v>
      </c>
      <c r="S260" s="2">
        <v>32.660606467882118</v>
      </c>
      <c r="T260" s="2" t="s">
        <v>2522</v>
      </c>
      <c r="U260" t="str">
        <f>INDEX(Table2[Doctor_Name],MATCH(Table1_3[[#This Row],[Department]],Table2[Department],0))</f>
        <v>Dr. Anita Sanchez</v>
      </c>
    </row>
    <row r="261" spans="1:21" x14ac:dyDescent="0.35">
      <c r="A261" s="2" t="s">
        <v>567</v>
      </c>
      <c r="B261" s="2" t="s">
        <v>568</v>
      </c>
      <c r="C261" s="2">
        <v>20</v>
      </c>
      <c r="D261" s="2" t="s">
        <v>138</v>
      </c>
      <c r="E261" s="2" t="s">
        <v>24</v>
      </c>
      <c r="F261" s="2" t="s">
        <v>36</v>
      </c>
      <c r="G261" s="2" t="s">
        <v>295</v>
      </c>
      <c r="H261" s="2">
        <v>145</v>
      </c>
      <c r="I261" s="2">
        <v>118</v>
      </c>
      <c r="J261" s="2" t="s">
        <v>65</v>
      </c>
      <c r="K261" s="2" t="s">
        <v>36</v>
      </c>
      <c r="L261" s="2" t="s">
        <v>69</v>
      </c>
      <c r="M261" s="3">
        <v>45137</v>
      </c>
      <c r="N261" s="4">
        <f>Table1_3[[#This Row],[Admission_Date]]</f>
        <v>45137</v>
      </c>
      <c r="O261" s="5">
        <f>Table1_3[[#This Row],[Admission_Date]]</f>
        <v>45137</v>
      </c>
      <c r="P261" s="2">
        <v>35827.03</v>
      </c>
      <c r="Q261" s="2">
        <f t="shared" si="4"/>
        <v>107</v>
      </c>
      <c r="R261" s="2" t="s">
        <v>2527</v>
      </c>
      <c r="S261" s="2">
        <v>56.123662306777646</v>
      </c>
      <c r="T261" s="2" t="s">
        <v>2522</v>
      </c>
      <c r="U261" t="str">
        <f>INDEX(Table2[Doctor_Name],MATCH(Table1_3[[#This Row],[Department]],Table2[Department],0))</f>
        <v>Dr. Vikram Wang</v>
      </c>
    </row>
    <row r="262" spans="1:21" x14ac:dyDescent="0.35">
      <c r="A262" s="2" t="s">
        <v>567</v>
      </c>
      <c r="B262" s="2" t="s">
        <v>637</v>
      </c>
      <c r="C262" s="2">
        <v>35</v>
      </c>
      <c r="D262" s="2" t="s">
        <v>29</v>
      </c>
      <c r="E262" s="2" t="s">
        <v>89</v>
      </c>
      <c r="F262" s="2" t="s">
        <v>17</v>
      </c>
      <c r="G262" s="2" t="s">
        <v>102</v>
      </c>
      <c r="H262" s="2">
        <v>184.7</v>
      </c>
      <c r="I262" s="2">
        <v>76</v>
      </c>
      <c r="J262" s="2" t="s">
        <v>19</v>
      </c>
      <c r="K262" s="2" t="s">
        <v>65</v>
      </c>
      <c r="L262" s="2" t="s">
        <v>69</v>
      </c>
      <c r="M262" s="3">
        <v>44984</v>
      </c>
      <c r="N262" s="4">
        <f>Table1_3[[#This Row],[Admission_Date]]</f>
        <v>44984</v>
      </c>
      <c r="O262" s="5">
        <f>Table1_3[[#This Row],[Admission_Date]]</f>
        <v>44984</v>
      </c>
      <c r="P262" s="2">
        <v>40989.839999999997</v>
      </c>
      <c r="Q262" s="2">
        <f t="shared" si="4"/>
        <v>107</v>
      </c>
      <c r="R262" s="2" t="s">
        <v>2523</v>
      </c>
      <c r="S262" s="2">
        <v>22.278184761780249</v>
      </c>
      <c r="T262" s="2" t="s">
        <v>1567</v>
      </c>
      <c r="U262" t="str">
        <f>INDEX(Table2[Doctor_Name],MATCH(Table1_3[[#This Row],[Department]],Table2[Department],0))</f>
        <v>Dr. Vikram Wang</v>
      </c>
    </row>
    <row r="263" spans="1:21" x14ac:dyDescent="0.35">
      <c r="A263" s="2" t="s">
        <v>785</v>
      </c>
      <c r="B263" s="2" t="s">
        <v>672</v>
      </c>
      <c r="C263" s="2">
        <v>6</v>
      </c>
      <c r="D263" s="2" t="s">
        <v>138</v>
      </c>
      <c r="E263" s="2" t="s">
        <v>78</v>
      </c>
      <c r="F263" s="2" t="s">
        <v>79</v>
      </c>
      <c r="G263" s="2" t="s">
        <v>35</v>
      </c>
      <c r="H263" s="2">
        <v>168.6</v>
      </c>
      <c r="I263" s="2">
        <v>57.3</v>
      </c>
      <c r="J263" s="2" t="s">
        <v>19</v>
      </c>
      <c r="K263" s="2" t="s">
        <v>65</v>
      </c>
      <c r="L263" s="2" t="s">
        <v>42</v>
      </c>
      <c r="M263" s="3">
        <v>45100</v>
      </c>
      <c r="N263" s="4">
        <f>Table1_3[[#This Row],[Admission_Date]]</f>
        <v>45100</v>
      </c>
      <c r="O263" s="5">
        <f>Table1_3[[#This Row],[Admission_Date]]</f>
        <v>45100</v>
      </c>
      <c r="P263" s="2">
        <v>6323.72</v>
      </c>
      <c r="Q263" s="2">
        <f t="shared" si="4"/>
        <v>45</v>
      </c>
      <c r="R263" s="2" t="s">
        <v>2521</v>
      </c>
      <c r="S263" s="2">
        <v>20.157630560234377</v>
      </c>
      <c r="T263" s="2" t="s">
        <v>1567</v>
      </c>
      <c r="U263" t="str">
        <f>INDEX(Table2[Doctor_Name],MATCH(Table1_3[[#This Row],[Department]],Table2[Department],0))</f>
        <v>Dr. Rahul Nair</v>
      </c>
    </row>
    <row r="264" spans="1:21" x14ac:dyDescent="0.35">
      <c r="A264" s="2" t="s">
        <v>1175</v>
      </c>
      <c r="B264" s="2" t="s">
        <v>1176</v>
      </c>
      <c r="C264" s="2">
        <v>26</v>
      </c>
      <c r="D264" s="2" t="s">
        <v>138</v>
      </c>
      <c r="E264" s="2" t="s">
        <v>130</v>
      </c>
      <c r="F264" s="2" t="s">
        <v>79</v>
      </c>
      <c r="G264" s="2" t="s">
        <v>36</v>
      </c>
      <c r="H264" s="2">
        <v>186.1</v>
      </c>
      <c r="I264" s="2">
        <v>122.8</v>
      </c>
      <c r="J264" s="2" t="s">
        <v>65</v>
      </c>
      <c r="K264" s="2" t="s">
        <v>65</v>
      </c>
      <c r="L264" s="2" t="s">
        <v>107</v>
      </c>
      <c r="M264" s="3">
        <v>45268</v>
      </c>
      <c r="N264" s="4">
        <f>Table1_3[[#This Row],[Admission_Date]]</f>
        <v>45268</v>
      </c>
      <c r="O264" s="5">
        <f>Table1_3[[#This Row],[Admission_Date]]</f>
        <v>45268</v>
      </c>
      <c r="P264" s="2">
        <v>11968.86</v>
      </c>
      <c r="Q264" s="2">
        <f t="shared" si="4"/>
        <v>83</v>
      </c>
      <c r="R264" s="2" t="s">
        <v>2523</v>
      </c>
      <c r="S264" s="2">
        <v>35.45729662367421</v>
      </c>
      <c r="T264" s="2" t="s">
        <v>2522</v>
      </c>
      <c r="U264" t="str">
        <f>INDEX(Table2[Doctor_Name],MATCH(Table1_3[[#This Row],[Department]],Table2[Department],0))</f>
        <v>Dr. Anita Sanchez</v>
      </c>
    </row>
    <row r="265" spans="1:21" x14ac:dyDescent="0.35">
      <c r="A265" s="2" t="s">
        <v>756</v>
      </c>
      <c r="B265" s="2" t="s">
        <v>2451</v>
      </c>
      <c r="C265" s="2">
        <v>43</v>
      </c>
      <c r="D265" s="2" t="s">
        <v>29</v>
      </c>
      <c r="E265" s="2" t="s">
        <v>24</v>
      </c>
      <c r="F265" s="2" t="s">
        <v>2517</v>
      </c>
      <c r="G265" s="2" t="s">
        <v>160</v>
      </c>
      <c r="H265" s="2">
        <v>192.5</v>
      </c>
      <c r="I265" s="2">
        <v>71.599999999999994</v>
      </c>
      <c r="J265" s="2" t="s">
        <v>19</v>
      </c>
      <c r="K265" s="2" t="s">
        <v>19</v>
      </c>
      <c r="L265" s="2" t="s">
        <v>42</v>
      </c>
      <c r="M265" s="3">
        <v>44910</v>
      </c>
      <c r="N265" s="4">
        <f>Table1_3[[#This Row],[Admission_Date]]</f>
        <v>44910</v>
      </c>
      <c r="O265" s="5">
        <f>Table1_3[[#This Row],[Admission_Date]]</f>
        <v>44910</v>
      </c>
      <c r="P265" s="2">
        <v>28946.57</v>
      </c>
      <c r="Q265" s="2">
        <f t="shared" si="4"/>
        <v>45</v>
      </c>
      <c r="R265" s="2" t="s">
        <v>2523</v>
      </c>
      <c r="S265" s="2">
        <v>19.321976724574125</v>
      </c>
      <c r="T265" s="2" t="s">
        <v>1567</v>
      </c>
      <c r="U265" t="str">
        <f>INDEX(Table2[Doctor_Name],MATCH(Table1_3[[#This Row],[Department]],Table2[Department],0))</f>
        <v>Dr. Rahul Nair</v>
      </c>
    </row>
    <row r="266" spans="1:21" x14ac:dyDescent="0.35">
      <c r="A266" s="2" t="s">
        <v>996</v>
      </c>
      <c r="B266" s="2" t="s">
        <v>744</v>
      </c>
      <c r="C266" s="2">
        <v>39</v>
      </c>
      <c r="D266" s="2" t="s">
        <v>52</v>
      </c>
      <c r="E266" s="2" t="s">
        <v>230</v>
      </c>
      <c r="F266" s="2" t="s">
        <v>2518</v>
      </c>
      <c r="G266" s="2" t="s">
        <v>74</v>
      </c>
      <c r="H266" s="2">
        <v>175</v>
      </c>
      <c r="I266" s="2">
        <v>74.5</v>
      </c>
      <c r="J266" s="2" t="s">
        <v>65</v>
      </c>
      <c r="K266" s="2" t="s">
        <v>36</v>
      </c>
      <c r="L266" s="2" t="s">
        <v>2537</v>
      </c>
      <c r="M266" s="3">
        <v>44963</v>
      </c>
      <c r="N266" s="4">
        <f>Table1_3[[#This Row],[Admission_Date]]</f>
        <v>44963</v>
      </c>
      <c r="O266" s="5">
        <f>Table1_3[[#This Row],[Admission_Date]]</f>
        <v>44963</v>
      </c>
      <c r="P266" s="2">
        <v>28576.95</v>
      </c>
      <c r="Q266" s="2">
        <f t="shared" si="4"/>
        <v>30</v>
      </c>
      <c r="R266" s="2" t="s">
        <v>2523</v>
      </c>
      <c r="S266" s="2">
        <v>24.326530612244898</v>
      </c>
      <c r="T266" s="2" t="s">
        <v>1567</v>
      </c>
      <c r="U266" t="str">
        <f>INDEX(Table2[Doctor_Name],MATCH(Table1_3[[#This Row],[Department]],Table2[Department],0))</f>
        <v>Dr. Sunita Zhang</v>
      </c>
    </row>
    <row r="267" spans="1:21" x14ac:dyDescent="0.35">
      <c r="A267" s="2" t="s">
        <v>268</v>
      </c>
      <c r="B267" s="2" t="s">
        <v>269</v>
      </c>
      <c r="C267" s="2">
        <v>63</v>
      </c>
      <c r="D267" s="2" t="s">
        <v>138</v>
      </c>
      <c r="E267" s="2" t="s">
        <v>115</v>
      </c>
      <c r="F267" s="2" t="s">
        <v>2517</v>
      </c>
      <c r="G267" s="2" t="s">
        <v>102</v>
      </c>
      <c r="H267" s="2">
        <v>184.8</v>
      </c>
      <c r="I267" s="2">
        <v>77</v>
      </c>
      <c r="J267" s="2" t="s">
        <v>36</v>
      </c>
      <c r="K267" s="2" t="s">
        <v>65</v>
      </c>
      <c r="L267" s="2" t="s">
        <v>42</v>
      </c>
      <c r="M267" s="3">
        <v>44973</v>
      </c>
      <c r="N267" s="4">
        <f>Table1_3[[#This Row],[Admission_Date]]</f>
        <v>44973</v>
      </c>
      <c r="O267" s="5">
        <f>Table1_3[[#This Row],[Admission_Date]]</f>
        <v>44973</v>
      </c>
      <c r="P267" s="2">
        <v>24967.61</v>
      </c>
      <c r="Q267" s="2">
        <f t="shared" si="4"/>
        <v>45</v>
      </c>
      <c r="R267" s="2" t="s">
        <v>2525</v>
      </c>
      <c r="S267" s="2">
        <v>22.546897546897544</v>
      </c>
      <c r="T267" s="2" t="s">
        <v>1567</v>
      </c>
      <c r="U267" t="str">
        <f>INDEX(Table2[Doctor_Name],MATCH(Table1_3[[#This Row],[Department]],Table2[Department],0))</f>
        <v>Dr. Rahul Nair</v>
      </c>
    </row>
    <row r="268" spans="1:21" x14ac:dyDescent="0.35">
      <c r="A268" s="2" t="s">
        <v>387</v>
      </c>
      <c r="B268" s="2" t="s">
        <v>388</v>
      </c>
      <c r="C268" s="2">
        <v>58</v>
      </c>
      <c r="D268" s="2" t="s">
        <v>52</v>
      </c>
      <c r="E268" s="2" t="s">
        <v>59</v>
      </c>
      <c r="F268" s="2" t="s">
        <v>2518</v>
      </c>
      <c r="G268" s="2" t="s">
        <v>124</v>
      </c>
      <c r="H268" s="2">
        <v>182</v>
      </c>
      <c r="I268" s="2">
        <v>111.5</v>
      </c>
      <c r="J268" s="2" t="s">
        <v>65</v>
      </c>
      <c r="K268" s="2" t="s">
        <v>36</v>
      </c>
      <c r="L268" s="2" t="s">
        <v>86</v>
      </c>
      <c r="M268" s="3">
        <v>44754</v>
      </c>
      <c r="N268" s="4">
        <f>Table1_3[[#This Row],[Admission_Date]]</f>
        <v>44754</v>
      </c>
      <c r="O268" s="5">
        <f>Table1_3[[#This Row],[Admission_Date]]</f>
        <v>44754</v>
      </c>
      <c r="P268" s="2">
        <v>29344.99</v>
      </c>
      <c r="Q268" s="2">
        <f t="shared" si="4"/>
        <v>35</v>
      </c>
      <c r="R268" s="2" t="s">
        <v>2523</v>
      </c>
      <c r="S268" s="2">
        <v>33.661393551503437</v>
      </c>
      <c r="T268" s="2" t="s">
        <v>2522</v>
      </c>
      <c r="U268" t="str">
        <f>INDEX(Table2[Doctor_Name],MATCH(Table1_3[[#This Row],[Department]],Table2[Department],0))</f>
        <v>Dr. Meera Torres</v>
      </c>
    </row>
    <row r="269" spans="1:21" x14ac:dyDescent="0.35">
      <c r="A269" s="2" t="s">
        <v>1160</v>
      </c>
      <c r="B269" s="2" t="s">
        <v>1161</v>
      </c>
      <c r="C269" s="2">
        <v>7</v>
      </c>
      <c r="D269" s="2" t="s">
        <v>29</v>
      </c>
      <c r="E269" s="2" t="s">
        <v>89</v>
      </c>
      <c r="F269" s="2" t="s">
        <v>17</v>
      </c>
      <c r="G269" s="2" t="s">
        <v>198</v>
      </c>
      <c r="H269" s="2">
        <v>191</v>
      </c>
      <c r="I269" s="2">
        <v>93.1</v>
      </c>
      <c r="J269" s="2" t="s">
        <v>36</v>
      </c>
      <c r="K269" s="2" t="s">
        <v>19</v>
      </c>
      <c r="L269" s="2" t="s">
        <v>103</v>
      </c>
      <c r="M269" s="3">
        <v>44978</v>
      </c>
      <c r="N269" s="4">
        <f>Table1_3[[#This Row],[Admission_Date]]</f>
        <v>44978</v>
      </c>
      <c r="O269" s="5">
        <f>Table1_3[[#This Row],[Admission_Date]]</f>
        <v>44978</v>
      </c>
      <c r="P269" s="2">
        <v>27483.38</v>
      </c>
      <c r="Q269" s="2">
        <f t="shared" si="4"/>
        <v>31</v>
      </c>
      <c r="R269" s="2" t="s">
        <v>2521</v>
      </c>
      <c r="S269" s="2">
        <v>25.52013376826293</v>
      </c>
      <c r="T269" s="2" t="s">
        <v>2526</v>
      </c>
      <c r="U269" t="str">
        <f>INDEX(Table2[Doctor_Name],MATCH(Table1_3[[#This Row],[Department]],Table2[Department],0))</f>
        <v>Dr. Suresh Johnson</v>
      </c>
    </row>
    <row r="270" spans="1:21" x14ac:dyDescent="0.35">
      <c r="A270" s="2" t="s">
        <v>528</v>
      </c>
      <c r="B270" s="2" t="s">
        <v>529</v>
      </c>
      <c r="C270" s="2">
        <v>86</v>
      </c>
      <c r="D270" s="2" t="s">
        <v>29</v>
      </c>
      <c r="E270" s="2" t="s">
        <v>89</v>
      </c>
      <c r="F270" s="2" t="s">
        <v>273</v>
      </c>
      <c r="G270" s="2" t="s">
        <v>80</v>
      </c>
      <c r="H270" s="2">
        <v>192.6</v>
      </c>
      <c r="I270" s="2">
        <v>128</v>
      </c>
      <c r="J270" s="2" t="s">
        <v>65</v>
      </c>
      <c r="K270" s="2" t="s">
        <v>19</v>
      </c>
      <c r="L270" s="2" t="s">
        <v>143</v>
      </c>
      <c r="M270" s="3">
        <v>44962</v>
      </c>
      <c r="N270" s="4">
        <f>Table1_3[[#This Row],[Admission_Date]]</f>
        <v>44962</v>
      </c>
      <c r="O270" s="5">
        <f>Table1_3[[#This Row],[Admission_Date]]</f>
        <v>44962</v>
      </c>
      <c r="P270" s="2">
        <v>44732.33</v>
      </c>
      <c r="Q270" s="2">
        <f t="shared" si="4"/>
        <v>14</v>
      </c>
      <c r="R270" s="2" t="s">
        <v>2525</v>
      </c>
      <c r="S270" s="2">
        <v>34.506221363879973</v>
      </c>
      <c r="T270" s="2" t="s">
        <v>2522</v>
      </c>
      <c r="U270" t="str">
        <f>INDEX(Table2[Doctor_Name],MATCH(Table1_3[[#This Row],[Department]],Table2[Department],0))</f>
        <v>Dr. Neha Liu</v>
      </c>
    </row>
    <row r="271" spans="1:21" x14ac:dyDescent="0.35">
      <c r="A271" s="2" t="s">
        <v>1136</v>
      </c>
      <c r="B271" s="2" t="s">
        <v>1137</v>
      </c>
      <c r="C271" s="2">
        <v>50</v>
      </c>
      <c r="D271" s="2" t="s">
        <v>138</v>
      </c>
      <c r="E271" s="2" t="s">
        <v>130</v>
      </c>
      <c r="F271" s="2" t="s">
        <v>120</v>
      </c>
      <c r="G271" s="2" t="s">
        <v>60</v>
      </c>
      <c r="H271" s="2">
        <v>184</v>
      </c>
      <c r="I271" s="2">
        <v>64.2</v>
      </c>
      <c r="J271" s="2" t="s">
        <v>19</v>
      </c>
      <c r="K271" s="2" t="s">
        <v>19</v>
      </c>
      <c r="L271" s="2" t="s">
        <v>2537</v>
      </c>
      <c r="M271" s="3">
        <v>45186</v>
      </c>
      <c r="N271" s="4">
        <f>Table1_3[[#This Row],[Admission_Date]]</f>
        <v>45186</v>
      </c>
      <c r="O271" s="5">
        <f>Table1_3[[#This Row],[Admission_Date]]</f>
        <v>45186</v>
      </c>
      <c r="P271" s="2">
        <v>18744.64</v>
      </c>
      <c r="Q271" s="2">
        <f t="shared" si="4"/>
        <v>30</v>
      </c>
      <c r="R271" s="2" t="s">
        <v>2523</v>
      </c>
      <c r="S271" s="2">
        <v>18.96266540642722</v>
      </c>
      <c r="T271" s="2" t="s">
        <v>1567</v>
      </c>
      <c r="U271" t="str">
        <f>INDEX(Table2[Doctor_Name],MATCH(Table1_3[[#This Row],[Department]],Table2[Department],0))</f>
        <v>Dr. Sunita Zhang</v>
      </c>
    </row>
    <row r="272" spans="1:21" x14ac:dyDescent="0.35">
      <c r="A272" s="2" t="s">
        <v>379</v>
      </c>
      <c r="B272" s="2" t="s">
        <v>380</v>
      </c>
      <c r="C272" s="2">
        <v>36</v>
      </c>
      <c r="D272" s="2" t="s">
        <v>138</v>
      </c>
      <c r="E272" s="2" t="s">
        <v>78</v>
      </c>
      <c r="F272" s="2" t="s">
        <v>79</v>
      </c>
      <c r="G272" s="2" t="s">
        <v>160</v>
      </c>
      <c r="H272" s="2">
        <v>147.30000000000001</v>
      </c>
      <c r="I272" s="2">
        <v>100</v>
      </c>
      <c r="J272" s="2" t="s">
        <v>36</v>
      </c>
      <c r="K272" s="2" t="s">
        <v>36</v>
      </c>
      <c r="L272" s="2" t="s">
        <v>175</v>
      </c>
      <c r="M272" s="3">
        <v>44602</v>
      </c>
      <c r="N272" s="4">
        <f>Table1_3[[#This Row],[Admission_Date]]</f>
        <v>44602</v>
      </c>
      <c r="O272" s="5">
        <f>Table1_3[[#This Row],[Admission_Date]]</f>
        <v>44602</v>
      </c>
      <c r="P272" s="2">
        <v>3112.33</v>
      </c>
      <c r="Q272" s="2">
        <f t="shared" si="4"/>
        <v>38</v>
      </c>
      <c r="R272" s="2" t="s">
        <v>2523</v>
      </c>
      <c r="S272" s="2">
        <v>46.088705087132993</v>
      </c>
      <c r="T272" s="2" t="s">
        <v>2522</v>
      </c>
      <c r="U272" t="str">
        <f>INDEX(Table2[Doctor_Name],MATCH(Table1_3[[#This Row],[Department]],Table2[Department],0))</f>
        <v>Dr. Arvind Wilson</v>
      </c>
    </row>
    <row r="273" spans="1:21" x14ac:dyDescent="0.35">
      <c r="A273" s="2" t="s">
        <v>257</v>
      </c>
      <c r="B273" s="2" t="s">
        <v>258</v>
      </c>
      <c r="C273" s="2">
        <v>46</v>
      </c>
      <c r="D273" s="2" t="s">
        <v>29</v>
      </c>
      <c r="E273" s="2" t="s">
        <v>59</v>
      </c>
      <c r="F273" s="2" t="s">
        <v>79</v>
      </c>
      <c r="G273" s="2" t="s">
        <v>90</v>
      </c>
      <c r="H273" s="2">
        <v>183</v>
      </c>
      <c r="I273" s="2">
        <v>107.4</v>
      </c>
      <c r="J273" s="2" t="s">
        <v>19</v>
      </c>
      <c r="K273" s="2" t="s">
        <v>36</v>
      </c>
      <c r="L273" s="2" t="s">
        <v>31</v>
      </c>
      <c r="M273" s="3">
        <v>44543</v>
      </c>
      <c r="N273" s="4">
        <f>Table1_3[[#This Row],[Admission_Date]]</f>
        <v>44543</v>
      </c>
      <c r="O273" s="5">
        <f>Table1_3[[#This Row],[Admission_Date]]</f>
        <v>44543</v>
      </c>
      <c r="P273" s="2">
        <v>3055.18</v>
      </c>
      <c r="Q273" s="2">
        <f t="shared" si="4"/>
        <v>37</v>
      </c>
      <c r="R273" s="2" t="s">
        <v>2523</v>
      </c>
      <c r="S273" s="2">
        <v>32.070232016483018</v>
      </c>
      <c r="T273" s="2" t="s">
        <v>2522</v>
      </c>
      <c r="U273" t="str">
        <f>INDEX(Table2[Doctor_Name],MATCH(Table1_3[[#This Row],[Department]],Table2[Department],0))</f>
        <v>Dr. Arvind Chen</v>
      </c>
    </row>
    <row r="274" spans="1:21" x14ac:dyDescent="0.35">
      <c r="A274" s="2" t="s">
        <v>1243</v>
      </c>
      <c r="B274" s="2" t="s">
        <v>2449</v>
      </c>
      <c r="C274" s="2">
        <v>36</v>
      </c>
      <c r="D274" s="2" t="s">
        <v>29</v>
      </c>
      <c r="E274" s="2" t="s">
        <v>89</v>
      </c>
      <c r="F274" s="2" t="s">
        <v>273</v>
      </c>
      <c r="G274" s="2" t="s">
        <v>417</v>
      </c>
      <c r="H274" s="2">
        <v>185</v>
      </c>
      <c r="I274" s="2">
        <v>122</v>
      </c>
      <c r="J274" s="2" t="s">
        <v>36</v>
      </c>
      <c r="K274" s="2" t="s">
        <v>65</v>
      </c>
      <c r="L274" s="2" t="s">
        <v>107</v>
      </c>
      <c r="M274" s="3">
        <v>44556</v>
      </c>
      <c r="N274" s="4">
        <f>Table1_3[[#This Row],[Admission_Date]]</f>
        <v>44556</v>
      </c>
      <c r="O274" s="5">
        <f>Table1_3[[#This Row],[Admission_Date]]</f>
        <v>44556</v>
      </c>
      <c r="P274" s="2">
        <v>39235.120000000003</v>
      </c>
      <c r="Q274" s="2">
        <f t="shared" si="4"/>
        <v>83</v>
      </c>
      <c r="R274" s="2" t="s">
        <v>2523</v>
      </c>
      <c r="S274" s="2">
        <v>35.646457268078883</v>
      </c>
      <c r="T274" s="2" t="s">
        <v>2522</v>
      </c>
      <c r="U274" t="str">
        <f>INDEX(Table2[Doctor_Name],MATCH(Table1_3[[#This Row],[Department]],Table2[Department],0))</f>
        <v>Dr. Anita Sanchez</v>
      </c>
    </row>
    <row r="275" spans="1:21" x14ac:dyDescent="0.35">
      <c r="A275" s="2" t="s">
        <v>962</v>
      </c>
      <c r="B275" s="2" t="s">
        <v>963</v>
      </c>
      <c r="C275" s="2">
        <v>77</v>
      </c>
      <c r="D275" s="2" t="s">
        <v>138</v>
      </c>
      <c r="E275" s="2" t="s">
        <v>89</v>
      </c>
      <c r="F275" s="2" t="s">
        <v>36</v>
      </c>
      <c r="G275" s="2" t="s">
        <v>36</v>
      </c>
      <c r="H275" s="2">
        <v>145</v>
      </c>
      <c r="I275" s="2">
        <v>105</v>
      </c>
      <c r="J275" s="2" t="s">
        <v>65</v>
      </c>
      <c r="K275" s="2" t="s">
        <v>65</v>
      </c>
      <c r="L275" s="2" t="s">
        <v>55</v>
      </c>
      <c r="M275" s="3">
        <v>44785</v>
      </c>
      <c r="N275" s="4">
        <f>Table1_3[[#This Row],[Admission_Date]]</f>
        <v>44785</v>
      </c>
      <c r="O275" s="5">
        <f>Table1_3[[#This Row],[Admission_Date]]</f>
        <v>44785</v>
      </c>
      <c r="P275" s="2">
        <v>32291.919999999998</v>
      </c>
      <c r="Q275" s="2">
        <f t="shared" si="4"/>
        <v>42</v>
      </c>
      <c r="R275" s="2" t="s">
        <v>2525</v>
      </c>
      <c r="S275" s="2">
        <v>49.940546967895365</v>
      </c>
      <c r="T275" s="2" t="s">
        <v>2522</v>
      </c>
      <c r="U275" t="str">
        <f>INDEX(Table2[Doctor_Name],MATCH(Table1_3[[#This Row],[Department]],Table2[Department],0))</f>
        <v>Dr. Sunita Sanchez</v>
      </c>
    </row>
    <row r="276" spans="1:21" x14ac:dyDescent="0.35">
      <c r="A276" s="2" t="s">
        <v>465</v>
      </c>
      <c r="B276" s="2" t="s">
        <v>466</v>
      </c>
      <c r="C276" s="2">
        <v>69</v>
      </c>
      <c r="D276" s="2" t="s">
        <v>138</v>
      </c>
      <c r="E276" s="2" t="s">
        <v>45</v>
      </c>
      <c r="F276" s="2" t="s">
        <v>2518</v>
      </c>
      <c r="G276" s="2" t="s">
        <v>160</v>
      </c>
      <c r="H276" s="2">
        <v>168.8</v>
      </c>
      <c r="I276" s="2" t="s">
        <v>2519</v>
      </c>
      <c r="J276" s="2" t="s">
        <v>65</v>
      </c>
      <c r="K276" s="2" t="s">
        <v>19</v>
      </c>
      <c r="L276" s="2" t="s">
        <v>143</v>
      </c>
      <c r="M276" s="3">
        <v>44814</v>
      </c>
      <c r="N276" s="4">
        <f>Table1_3[[#This Row],[Admission_Date]]</f>
        <v>44814</v>
      </c>
      <c r="O276" s="5">
        <f>Table1_3[[#This Row],[Admission_Date]]</f>
        <v>44814</v>
      </c>
      <c r="P276" s="2">
        <v>0</v>
      </c>
      <c r="Q276" s="2">
        <f t="shared" si="4"/>
        <v>35</v>
      </c>
      <c r="R276" s="2" t="s">
        <v>2525</v>
      </c>
      <c r="S276" s="2" t="s">
        <v>36</v>
      </c>
      <c r="T276" s="2" t="s">
        <v>36</v>
      </c>
      <c r="U276" t="str">
        <f>INDEX(Table2[Doctor_Name],MATCH(Table1_3[[#This Row],[Department]],Table2[Department],0))</f>
        <v>Dr. Neha Liu</v>
      </c>
    </row>
    <row r="277" spans="1:21" x14ac:dyDescent="0.35">
      <c r="A277" s="2" t="s">
        <v>473</v>
      </c>
      <c r="B277" s="2" t="s">
        <v>474</v>
      </c>
      <c r="C277" s="2">
        <v>43</v>
      </c>
      <c r="D277" s="2" t="s">
        <v>29</v>
      </c>
      <c r="E277" s="2" t="s">
        <v>53</v>
      </c>
      <c r="F277" s="2" t="s">
        <v>134</v>
      </c>
      <c r="G277" s="2" t="s">
        <v>417</v>
      </c>
      <c r="H277" s="2">
        <v>164</v>
      </c>
      <c r="I277" s="2">
        <v>93</v>
      </c>
      <c r="J277" s="2" t="s">
        <v>19</v>
      </c>
      <c r="K277" s="2" t="s">
        <v>65</v>
      </c>
      <c r="L277" s="2" t="s">
        <v>143</v>
      </c>
      <c r="M277" s="3">
        <v>44652</v>
      </c>
      <c r="N277" s="4">
        <f>Table1_3[[#This Row],[Admission_Date]]</f>
        <v>44652</v>
      </c>
      <c r="O277" s="5">
        <f>Table1_3[[#This Row],[Admission_Date]]</f>
        <v>44652</v>
      </c>
      <c r="P277" s="2">
        <v>27606.82</v>
      </c>
      <c r="Q277" s="2">
        <f t="shared" si="4"/>
        <v>35</v>
      </c>
      <c r="R277" s="2" t="s">
        <v>2523</v>
      </c>
      <c r="S277" s="2">
        <v>34.577632361689474</v>
      </c>
      <c r="T277" s="2" t="s">
        <v>2522</v>
      </c>
      <c r="U277" t="str">
        <f>INDEX(Table2[Doctor_Name],MATCH(Table1_3[[#This Row],[Department]],Table2[Department],0))</f>
        <v>Dr. Neha Liu</v>
      </c>
    </row>
    <row r="278" spans="1:21" x14ac:dyDescent="0.35">
      <c r="A278" s="2" t="s">
        <v>492</v>
      </c>
      <c r="B278" s="2" t="s">
        <v>493</v>
      </c>
      <c r="C278" s="2">
        <v>33</v>
      </c>
      <c r="D278" s="2" t="s">
        <v>29</v>
      </c>
      <c r="E278" s="2" t="s">
        <v>230</v>
      </c>
      <c r="F278" s="2" t="s">
        <v>79</v>
      </c>
      <c r="G278" s="2" t="s">
        <v>54</v>
      </c>
      <c r="H278" s="2">
        <v>177</v>
      </c>
      <c r="I278" s="2">
        <v>100.1</v>
      </c>
      <c r="J278" s="2" t="s">
        <v>19</v>
      </c>
      <c r="K278" s="2" t="s">
        <v>19</v>
      </c>
      <c r="L278" s="2" t="s">
        <v>42</v>
      </c>
      <c r="M278" s="3">
        <v>44202</v>
      </c>
      <c r="N278" s="4">
        <f>Table1_3[[#This Row],[Admission_Date]]</f>
        <v>44202</v>
      </c>
      <c r="O278" s="5">
        <f>Table1_3[[#This Row],[Admission_Date]]</f>
        <v>44202</v>
      </c>
      <c r="P278" s="2">
        <v>38966.74</v>
      </c>
      <c r="Q278" s="2">
        <f t="shared" si="4"/>
        <v>45</v>
      </c>
      <c r="R278" s="2" t="s">
        <v>2523</v>
      </c>
      <c r="S278" s="2">
        <v>31.951227297392187</v>
      </c>
      <c r="T278" s="2" t="s">
        <v>2522</v>
      </c>
      <c r="U278" t="str">
        <f>INDEX(Table2[Doctor_Name],MATCH(Table1_3[[#This Row],[Department]],Table2[Department],0))</f>
        <v>Dr. Rahul Nair</v>
      </c>
    </row>
    <row r="279" spans="1:21" x14ac:dyDescent="0.35">
      <c r="A279" s="2" t="s">
        <v>1462</v>
      </c>
      <c r="B279" s="2" t="s">
        <v>1401</v>
      </c>
      <c r="C279" s="2">
        <v>26</v>
      </c>
      <c r="D279" s="2" t="s">
        <v>52</v>
      </c>
      <c r="E279" s="2" t="s">
        <v>45</v>
      </c>
      <c r="F279" s="2" t="s">
        <v>120</v>
      </c>
      <c r="G279" s="2" t="s">
        <v>54</v>
      </c>
      <c r="H279" s="2">
        <v>152.19999999999999</v>
      </c>
      <c r="I279" s="2">
        <v>97.9</v>
      </c>
      <c r="J279" s="2" t="s">
        <v>36</v>
      </c>
      <c r="K279" s="2" t="s">
        <v>19</v>
      </c>
      <c r="L279" s="2" t="s">
        <v>69</v>
      </c>
      <c r="M279" s="3">
        <v>44268</v>
      </c>
      <c r="N279" s="4">
        <f>Table1_3[[#This Row],[Admission_Date]]</f>
        <v>44268</v>
      </c>
      <c r="O279" s="5">
        <f>Table1_3[[#This Row],[Admission_Date]]</f>
        <v>44268</v>
      </c>
      <c r="P279" s="2">
        <v>3985.41</v>
      </c>
      <c r="Q279" s="2">
        <f t="shared" si="4"/>
        <v>107</v>
      </c>
      <c r="R279" s="2" t="s">
        <v>2523</v>
      </c>
      <c r="S279" s="2">
        <v>42.262325144486226</v>
      </c>
      <c r="T279" s="2" t="s">
        <v>2522</v>
      </c>
      <c r="U279" t="str">
        <f>INDEX(Table2[Doctor_Name],MATCH(Table1_3[[#This Row],[Department]],Table2[Department],0))</f>
        <v>Dr. Vikram Wang</v>
      </c>
    </row>
    <row r="280" spans="1:21" x14ac:dyDescent="0.35">
      <c r="A280" s="2" t="s">
        <v>1212</v>
      </c>
      <c r="B280" s="2" t="s">
        <v>1213</v>
      </c>
      <c r="C280" s="2">
        <v>81</v>
      </c>
      <c r="D280" s="2" t="s">
        <v>29</v>
      </c>
      <c r="E280" s="2" t="s">
        <v>45</v>
      </c>
      <c r="F280" s="2" t="s">
        <v>17</v>
      </c>
      <c r="G280" s="2" t="s">
        <v>18</v>
      </c>
      <c r="H280" s="2">
        <v>172</v>
      </c>
      <c r="I280" s="2">
        <v>66</v>
      </c>
      <c r="J280" s="2" t="s">
        <v>19</v>
      </c>
      <c r="K280" s="2" t="s">
        <v>19</v>
      </c>
      <c r="L280" s="2" t="s">
        <v>69</v>
      </c>
      <c r="M280" s="3">
        <v>44983</v>
      </c>
      <c r="N280" s="4">
        <f>Table1_3[[#This Row],[Admission_Date]]</f>
        <v>44983</v>
      </c>
      <c r="O280" s="5">
        <f>Table1_3[[#This Row],[Admission_Date]]</f>
        <v>44983</v>
      </c>
      <c r="P280" s="2">
        <v>9954.66</v>
      </c>
      <c r="Q280" s="2">
        <f t="shared" si="4"/>
        <v>107</v>
      </c>
      <c r="R280" s="2" t="s">
        <v>2525</v>
      </c>
      <c r="S280" s="2">
        <v>22.309356408869661</v>
      </c>
      <c r="T280" s="2" t="s">
        <v>1567</v>
      </c>
      <c r="U280" t="str">
        <f>INDEX(Table2[Doctor_Name],MATCH(Table1_3[[#This Row],[Department]],Table2[Department],0))</f>
        <v>Dr. Vikram Wang</v>
      </c>
    </row>
    <row r="281" spans="1:21" x14ac:dyDescent="0.35">
      <c r="A281" s="2" t="s">
        <v>140</v>
      </c>
      <c r="B281" s="2" t="s">
        <v>2410</v>
      </c>
      <c r="C281" s="2">
        <v>95</v>
      </c>
      <c r="D281" s="2" t="s">
        <v>138</v>
      </c>
      <c r="E281" s="2" t="s">
        <v>89</v>
      </c>
      <c r="F281" s="2" t="s">
        <v>141</v>
      </c>
      <c r="G281" s="2" t="s">
        <v>40</v>
      </c>
      <c r="H281" s="2">
        <v>175.4</v>
      </c>
      <c r="I281" s="2">
        <v>61.5</v>
      </c>
      <c r="J281" s="2" t="s">
        <v>65</v>
      </c>
      <c r="K281" s="2" t="s">
        <v>19</v>
      </c>
      <c r="L281" s="2" t="s">
        <v>143</v>
      </c>
      <c r="M281" s="3">
        <v>44827</v>
      </c>
      <c r="N281" s="4">
        <f>Table1_3[[#This Row],[Admission_Date]]</f>
        <v>44827</v>
      </c>
      <c r="O281" s="5">
        <f>Table1_3[[#This Row],[Admission_Date]]</f>
        <v>44827</v>
      </c>
      <c r="P281" s="2">
        <v>26930.03</v>
      </c>
      <c r="Q281" s="2">
        <f t="shared" si="4"/>
        <v>35</v>
      </c>
      <c r="R281" s="2" t="s">
        <v>2525</v>
      </c>
      <c r="S281" s="2">
        <v>19.9901446961433</v>
      </c>
      <c r="T281" s="2" t="s">
        <v>1567</v>
      </c>
      <c r="U281" t="str">
        <f>INDEX(Table2[Doctor_Name],MATCH(Table1_3[[#This Row],[Department]],Table2[Department],0))</f>
        <v>Dr. Neha Liu</v>
      </c>
    </row>
    <row r="282" spans="1:21" x14ac:dyDescent="0.35">
      <c r="A282" s="2" t="s">
        <v>263</v>
      </c>
      <c r="B282" s="2" t="s">
        <v>963</v>
      </c>
      <c r="C282" s="2">
        <v>6</v>
      </c>
      <c r="D282" s="2" t="s">
        <v>29</v>
      </c>
      <c r="E282" s="2" t="s">
        <v>45</v>
      </c>
      <c r="F282" s="2" t="s">
        <v>2518</v>
      </c>
      <c r="G282" s="2" t="s">
        <v>36</v>
      </c>
      <c r="H282" s="2">
        <v>187</v>
      </c>
      <c r="I282" s="2">
        <v>61</v>
      </c>
      <c r="J282" s="2" t="s">
        <v>19</v>
      </c>
      <c r="K282" s="2" t="s">
        <v>36</v>
      </c>
      <c r="L282" s="2" t="s">
        <v>69</v>
      </c>
      <c r="M282" s="3">
        <v>45198</v>
      </c>
      <c r="N282" s="4">
        <f>Table1_3[[#This Row],[Admission_Date]]</f>
        <v>45198</v>
      </c>
      <c r="O282" s="5">
        <f>Table1_3[[#This Row],[Admission_Date]]</f>
        <v>45198</v>
      </c>
      <c r="P282" s="2">
        <v>1443.62</v>
      </c>
      <c r="Q282" s="2">
        <f t="shared" si="4"/>
        <v>107</v>
      </c>
      <c r="R282" s="2" t="s">
        <v>2521</v>
      </c>
      <c r="S282" s="2">
        <v>17.444021847922443</v>
      </c>
      <c r="T282" s="2" t="s">
        <v>2524</v>
      </c>
      <c r="U282" t="str">
        <f>INDEX(Table2[Doctor_Name],MATCH(Table1_3[[#This Row],[Department]],Table2[Department],0))</f>
        <v>Dr. Vikram Wang</v>
      </c>
    </row>
    <row r="283" spans="1:21" x14ac:dyDescent="0.35">
      <c r="A283" s="2" t="s">
        <v>297</v>
      </c>
      <c r="B283" s="2" t="s">
        <v>1429</v>
      </c>
      <c r="C283" s="2">
        <v>40</v>
      </c>
      <c r="D283" s="2" t="s">
        <v>138</v>
      </c>
      <c r="E283" s="2" t="s">
        <v>45</v>
      </c>
      <c r="F283" s="2" t="s">
        <v>2517</v>
      </c>
      <c r="G283" s="2" t="s">
        <v>124</v>
      </c>
      <c r="H283" s="2">
        <v>148</v>
      </c>
      <c r="I283" s="2">
        <v>94</v>
      </c>
      <c r="J283" s="2" t="s">
        <v>65</v>
      </c>
      <c r="K283" s="2" t="s">
        <v>65</v>
      </c>
      <c r="L283" s="2" t="s">
        <v>103</v>
      </c>
      <c r="M283" s="3">
        <v>44887</v>
      </c>
      <c r="N283" s="4">
        <f>Table1_3[[#This Row],[Admission_Date]]</f>
        <v>44887</v>
      </c>
      <c r="O283" s="5">
        <f>Table1_3[[#This Row],[Admission_Date]]</f>
        <v>44887</v>
      </c>
      <c r="P283" s="2">
        <v>34080.69</v>
      </c>
      <c r="Q283" s="2">
        <f t="shared" si="4"/>
        <v>31</v>
      </c>
      <c r="R283" s="2" t="s">
        <v>2523</v>
      </c>
      <c r="S283" s="2">
        <v>42.914536157779402</v>
      </c>
      <c r="T283" s="2" t="s">
        <v>2522</v>
      </c>
      <c r="U283" t="str">
        <f>INDEX(Table2[Doctor_Name],MATCH(Table1_3[[#This Row],[Department]],Table2[Department],0))</f>
        <v>Dr. Suresh Johnson</v>
      </c>
    </row>
    <row r="284" spans="1:21" x14ac:dyDescent="0.35">
      <c r="A284" s="2" t="s">
        <v>1055</v>
      </c>
      <c r="B284" s="2" t="s">
        <v>1056</v>
      </c>
      <c r="C284" s="2">
        <v>6</v>
      </c>
      <c r="D284" s="2" t="s">
        <v>52</v>
      </c>
      <c r="E284" s="2" t="s">
        <v>73</v>
      </c>
      <c r="F284" s="2" t="s">
        <v>17</v>
      </c>
      <c r="G284" s="2" t="s">
        <v>80</v>
      </c>
      <c r="H284" s="2">
        <v>152</v>
      </c>
      <c r="I284" s="2">
        <v>73</v>
      </c>
      <c r="J284" s="2" t="s">
        <v>65</v>
      </c>
      <c r="K284" s="2" t="s">
        <v>65</v>
      </c>
      <c r="L284" s="2" t="s">
        <v>86</v>
      </c>
      <c r="M284" s="3">
        <v>44280</v>
      </c>
      <c r="N284" s="4">
        <f>Table1_3[[#This Row],[Admission_Date]]</f>
        <v>44280</v>
      </c>
      <c r="O284" s="5">
        <f>Table1_3[[#This Row],[Admission_Date]]</f>
        <v>44280</v>
      </c>
      <c r="P284" s="2">
        <v>5448.41</v>
      </c>
      <c r="Q284" s="2">
        <f t="shared" si="4"/>
        <v>35</v>
      </c>
      <c r="R284" s="2" t="s">
        <v>2521</v>
      </c>
      <c r="S284" s="2">
        <v>31.596260387811633</v>
      </c>
      <c r="T284" s="2" t="s">
        <v>2522</v>
      </c>
      <c r="U284" t="str">
        <f>INDEX(Table2[Doctor_Name],MATCH(Table1_3[[#This Row],[Department]],Table2[Department],0))</f>
        <v>Dr. Meera Torres</v>
      </c>
    </row>
    <row r="285" spans="1:21" x14ac:dyDescent="0.35">
      <c r="A285" s="2" t="s">
        <v>1431</v>
      </c>
      <c r="B285" s="2" t="s">
        <v>2508</v>
      </c>
      <c r="C285" s="2" t="s">
        <v>2519</v>
      </c>
      <c r="D285" s="2" t="s">
        <v>138</v>
      </c>
      <c r="E285" s="2" t="s">
        <v>89</v>
      </c>
      <c r="F285" s="2" t="s">
        <v>79</v>
      </c>
      <c r="G285" s="2" t="s">
        <v>60</v>
      </c>
      <c r="H285" s="2">
        <v>184.6</v>
      </c>
      <c r="I285" s="2">
        <v>58.6</v>
      </c>
      <c r="J285" s="2" t="s">
        <v>19</v>
      </c>
      <c r="K285" s="2" t="s">
        <v>65</v>
      </c>
      <c r="L285" s="2" t="s">
        <v>103</v>
      </c>
      <c r="M285" s="3">
        <v>44686</v>
      </c>
      <c r="N285" s="4">
        <f>Table1_3[[#This Row],[Admission_Date]]</f>
        <v>44686</v>
      </c>
      <c r="O285" s="5">
        <f>Table1_3[[#This Row],[Admission_Date]]</f>
        <v>44686</v>
      </c>
      <c r="P285" s="2">
        <v>0</v>
      </c>
      <c r="Q285" s="2">
        <f t="shared" si="4"/>
        <v>31</v>
      </c>
      <c r="R285" s="2" t="s">
        <v>36</v>
      </c>
      <c r="S285" s="2">
        <v>17.196268703143105</v>
      </c>
      <c r="T285" s="2" t="s">
        <v>2524</v>
      </c>
      <c r="U285" t="str">
        <f>INDEX(Table2[Doctor_Name],MATCH(Table1_3[[#This Row],[Department]],Table2[Department],0))</f>
        <v>Dr. Suresh Johnson</v>
      </c>
    </row>
    <row r="286" spans="1:21" x14ac:dyDescent="0.35">
      <c r="A286" s="2" t="s">
        <v>867</v>
      </c>
      <c r="B286" s="2" t="s">
        <v>868</v>
      </c>
      <c r="C286" s="2" t="s">
        <v>2519</v>
      </c>
      <c r="D286" s="2" t="s">
        <v>138</v>
      </c>
      <c r="E286" s="2" t="s">
        <v>111</v>
      </c>
      <c r="F286" s="2" t="s">
        <v>134</v>
      </c>
      <c r="G286" s="2" t="s">
        <v>160</v>
      </c>
      <c r="H286" s="2">
        <v>175.4</v>
      </c>
      <c r="I286" s="2">
        <v>96</v>
      </c>
      <c r="J286" s="2" t="s">
        <v>19</v>
      </c>
      <c r="K286" s="2" t="s">
        <v>19</v>
      </c>
      <c r="L286" s="2" t="s">
        <v>226</v>
      </c>
      <c r="M286" s="3">
        <v>44427</v>
      </c>
      <c r="N286" s="4">
        <f>Table1_3[[#This Row],[Admission_Date]]</f>
        <v>44427</v>
      </c>
      <c r="O286" s="5">
        <f>Table1_3[[#This Row],[Admission_Date]]</f>
        <v>44427</v>
      </c>
      <c r="P286" s="2">
        <v>34419.57</v>
      </c>
      <c r="Q286" s="2">
        <f t="shared" si="4"/>
        <v>35</v>
      </c>
      <c r="R286" s="2" t="s">
        <v>36</v>
      </c>
      <c r="S286" s="2">
        <v>31.204128306174908</v>
      </c>
      <c r="T286" s="2" t="s">
        <v>2522</v>
      </c>
      <c r="U286" t="str">
        <f>INDEX(Table2[Doctor_Name],MATCH(Table1_3[[#This Row],[Department]],Table2[Department],0))</f>
        <v>Dr. Vikram Khan</v>
      </c>
    </row>
    <row r="287" spans="1:21" x14ac:dyDescent="0.35">
      <c r="A287" s="2" t="s">
        <v>1449</v>
      </c>
      <c r="B287" s="2" t="s">
        <v>733</v>
      </c>
      <c r="C287" s="2">
        <v>27</v>
      </c>
      <c r="D287" s="2" t="s">
        <v>29</v>
      </c>
      <c r="E287" s="2" t="s">
        <v>53</v>
      </c>
      <c r="F287" s="2" t="s">
        <v>17</v>
      </c>
      <c r="G287" s="2" t="s">
        <v>124</v>
      </c>
      <c r="H287" s="2">
        <v>183</v>
      </c>
      <c r="I287" s="2">
        <v>45</v>
      </c>
      <c r="J287" s="2" t="s">
        <v>19</v>
      </c>
      <c r="K287" s="2" t="s">
        <v>19</v>
      </c>
      <c r="L287" s="2" t="s">
        <v>31</v>
      </c>
      <c r="M287" s="3">
        <v>45251</v>
      </c>
      <c r="N287" s="4">
        <f>Table1_3[[#This Row],[Admission_Date]]</f>
        <v>45251</v>
      </c>
      <c r="O287" s="5">
        <f>Table1_3[[#This Row],[Admission_Date]]</f>
        <v>45251</v>
      </c>
      <c r="P287" s="2">
        <v>4007.55</v>
      </c>
      <c r="Q287" s="2">
        <f t="shared" si="4"/>
        <v>37</v>
      </c>
      <c r="R287" s="2" t="s">
        <v>2523</v>
      </c>
      <c r="S287" s="2">
        <v>13.437248051599031</v>
      </c>
      <c r="T287" s="2" t="s">
        <v>2524</v>
      </c>
      <c r="U287" t="str">
        <f>INDEX(Table2[Doctor_Name],MATCH(Table1_3[[#This Row],[Department]],Table2[Department],0))</f>
        <v>Dr. Arvind Chen</v>
      </c>
    </row>
    <row r="288" spans="1:21" x14ac:dyDescent="0.35">
      <c r="A288" s="2" t="s">
        <v>251</v>
      </c>
      <c r="B288" s="2" t="s">
        <v>252</v>
      </c>
      <c r="C288" s="2">
        <v>30</v>
      </c>
      <c r="D288" s="2" t="s">
        <v>29</v>
      </c>
      <c r="E288" s="2" t="s">
        <v>45</v>
      </c>
      <c r="F288" s="2" t="s">
        <v>17</v>
      </c>
      <c r="G288" s="2" t="s">
        <v>112</v>
      </c>
      <c r="H288" s="2">
        <v>186</v>
      </c>
      <c r="I288" s="2">
        <v>58</v>
      </c>
      <c r="J288" s="2" t="s">
        <v>65</v>
      </c>
      <c r="K288" s="2" t="s">
        <v>65</v>
      </c>
      <c r="L288" s="2" t="s">
        <v>2537</v>
      </c>
      <c r="M288" s="3">
        <v>45189</v>
      </c>
      <c r="N288" s="4">
        <f>Table1_3[[#This Row],[Admission_Date]]</f>
        <v>45189</v>
      </c>
      <c r="O288" s="5">
        <f>Table1_3[[#This Row],[Admission_Date]]</f>
        <v>45189</v>
      </c>
      <c r="P288" s="2">
        <v>44579.199999999997</v>
      </c>
      <c r="Q288" s="2">
        <f t="shared" si="4"/>
        <v>24</v>
      </c>
      <c r="R288" s="2" t="s">
        <v>2523</v>
      </c>
      <c r="S288" s="2">
        <v>16.76494392415308</v>
      </c>
      <c r="T288" s="2" t="s">
        <v>2524</v>
      </c>
      <c r="U288" t="str">
        <f>INDEX(Table2[Doctor_Name],MATCH(Table1_3[[#This Row],[Department]],Table2[Department],0))</f>
        <v>Dr. Sunita Zhang</v>
      </c>
    </row>
    <row r="289" spans="1:21" x14ac:dyDescent="0.35">
      <c r="A289" s="2" t="s">
        <v>1495</v>
      </c>
      <c r="B289" s="2" t="s">
        <v>529</v>
      </c>
      <c r="C289" s="2">
        <v>81</v>
      </c>
      <c r="D289" s="2" t="s">
        <v>138</v>
      </c>
      <c r="E289" s="2" t="s">
        <v>53</v>
      </c>
      <c r="F289" s="2" t="s">
        <v>2518</v>
      </c>
      <c r="G289" s="2" t="s">
        <v>102</v>
      </c>
      <c r="H289" s="2">
        <v>180</v>
      </c>
      <c r="I289" s="2">
        <v>50</v>
      </c>
      <c r="J289" s="2" t="s">
        <v>65</v>
      </c>
      <c r="K289" s="2" t="s">
        <v>19</v>
      </c>
      <c r="L289" s="2" t="s">
        <v>69</v>
      </c>
      <c r="M289" s="3">
        <v>44900</v>
      </c>
      <c r="N289" s="4">
        <f>Table1_3[[#This Row],[Admission_Date]]</f>
        <v>44900</v>
      </c>
      <c r="O289" s="5">
        <f>Table1_3[[#This Row],[Admission_Date]]</f>
        <v>44900</v>
      </c>
      <c r="P289" s="2">
        <v>44377.24</v>
      </c>
      <c r="Q289" s="2">
        <f t="shared" si="4"/>
        <v>78</v>
      </c>
      <c r="R289" s="2" t="s">
        <v>2525</v>
      </c>
      <c r="S289" s="2">
        <v>15.432098765432098</v>
      </c>
      <c r="T289" s="2" t="s">
        <v>2524</v>
      </c>
      <c r="U289" t="str">
        <f>INDEX(Table2[Doctor_Name],MATCH(Table1_3[[#This Row],[Department]],Table2[Department],0))</f>
        <v>Dr. Vikram Wang</v>
      </c>
    </row>
    <row r="290" spans="1:21" x14ac:dyDescent="0.35">
      <c r="A290" s="2" t="s">
        <v>623</v>
      </c>
      <c r="B290" s="2" t="s">
        <v>624</v>
      </c>
      <c r="C290" s="2">
        <v>30</v>
      </c>
      <c r="D290" s="2" t="s">
        <v>138</v>
      </c>
      <c r="E290" s="2" t="s">
        <v>217</v>
      </c>
      <c r="F290" s="2" t="s">
        <v>36</v>
      </c>
      <c r="G290" s="2" t="s">
        <v>35</v>
      </c>
      <c r="H290" s="2">
        <v>170</v>
      </c>
      <c r="I290" s="2">
        <v>106</v>
      </c>
      <c r="J290" s="2" t="s">
        <v>65</v>
      </c>
      <c r="K290" s="2" t="s">
        <v>65</v>
      </c>
      <c r="L290" s="2" t="s">
        <v>103</v>
      </c>
      <c r="M290" s="3">
        <v>44565</v>
      </c>
      <c r="N290" s="4">
        <f>Table1_3[[#This Row],[Admission_Date]]</f>
        <v>44565</v>
      </c>
      <c r="O290" s="5">
        <f>Table1_3[[#This Row],[Admission_Date]]</f>
        <v>44565</v>
      </c>
      <c r="P290" s="2">
        <v>47339.49</v>
      </c>
      <c r="Q290" s="2">
        <f t="shared" si="4"/>
        <v>1</v>
      </c>
      <c r="R290" s="2" t="s">
        <v>2523</v>
      </c>
      <c r="S290" s="2">
        <v>36.678200692041528</v>
      </c>
      <c r="T290" s="2" t="s">
        <v>2522</v>
      </c>
      <c r="U290" t="str">
        <f>INDEX(Table2[Doctor_Name],MATCH(Table1_3[[#This Row],[Department]],Table2[Department],0))</f>
        <v>Dr. Suresh Johnson</v>
      </c>
    </row>
    <row r="291" spans="1:21" x14ac:dyDescent="0.35">
      <c r="A291" s="2" t="s">
        <v>363</v>
      </c>
      <c r="B291" s="2" t="s">
        <v>364</v>
      </c>
      <c r="C291" s="2">
        <v>65</v>
      </c>
      <c r="D291" s="2" t="s">
        <v>29</v>
      </c>
      <c r="E291" s="2" t="s">
        <v>217</v>
      </c>
      <c r="F291" s="2" t="s">
        <v>2518</v>
      </c>
      <c r="G291" s="2" t="s">
        <v>160</v>
      </c>
      <c r="H291" s="2">
        <v>159</v>
      </c>
      <c r="I291" s="2">
        <v>62</v>
      </c>
      <c r="J291" s="2" t="s">
        <v>36</v>
      </c>
      <c r="K291" s="2" t="s">
        <v>36</v>
      </c>
      <c r="L291" s="2" t="s">
        <v>103</v>
      </c>
      <c r="M291" s="3">
        <v>44643</v>
      </c>
      <c r="N291" s="4">
        <f>Table1_3[[#This Row],[Admission_Date]]</f>
        <v>44643</v>
      </c>
      <c r="O291" s="5">
        <f>Table1_3[[#This Row],[Admission_Date]]</f>
        <v>44643</v>
      </c>
      <c r="P291" s="2">
        <v>18241.080000000002</v>
      </c>
      <c r="Q291" s="2">
        <f t="shared" si="4"/>
        <v>31</v>
      </c>
      <c r="R291" s="2" t="s">
        <v>2525</v>
      </c>
      <c r="S291" s="2">
        <v>24.524346347059055</v>
      </c>
      <c r="T291" s="2" t="s">
        <v>1567</v>
      </c>
      <c r="U291" t="str">
        <f>INDEX(Table2[Doctor_Name],MATCH(Table1_3[[#This Row],[Department]],Table2[Department],0))</f>
        <v>Dr. Suresh Johnson</v>
      </c>
    </row>
    <row r="292" spans="1:21" x14ac:dyDescent="0.35">
      <c r="A292" s="2" t="s">
        <v>1110</v>
      </c>
      <c r="B292" s="2" t="s">
        <v>1111</v>
      </c>
      <c r="C292" s="2">
        <v>11</v>
      </c>
      <c r="D292" s="2" t="s">
        <v>52</v>
      </c>
      <c r="E292" s="2" t="s">
        <v>24</v>
      </c>
      <c r="F292" s="2" t="s">
        <v>141</v>
      </c>
      <c r="G292" s="2" t="s">
        <v>160</v>
      </c>
      <c r="H292" s="2">
        <v>149</v>
      </c>
      <c r="I292" s="2">
        <v>73</v>
      </c>
      <c r="J292" s="2" t="s">
        <v>65</v>
      </c>
      <c r="K292" s="2" t="s">
        <v>65</v>
      </c>
      <c r="L292" s="2" t="s">
        <v>69</v>
      </c>
      <c r="M292" s="3">
        <v>44334</v>
      </c>
      <c r="N292" s="4">
        <f>Table1_3[[#This Row],[Admission_Date]]</f>
        <v>44334</v>
      </c>
      <c r="O292" s="5">
        <f>Table1_3[[#This Row],[Admission_Date]]</f>
        <v>44334</v>
      </c>
      <c r="P292" s="2">
        <v>35612.19</v>
      </c>
      <c r="Q292" s="2">
        <f t="shared" si="4"/>
        <v>107</v>
      </c>
      <c r="R292" s="2" t="s">
        <v>2521</v>
      </c>
      <c r="S292" s="2">
        <v>32.881401738660422</v>
      </c>
      <c r="T292" s="2" t="s">
        <v>2522</v>
      </c>
      <c r="U292" t="str">
        <f>INDEX(Table2[Doctor_Name],MATCH(Table1_3[[#This Row],[Department]],Table2[Department],0))</f>
        <v>Dr. Vikram Wang</v>
      </c>
    </row>
    <row r="293" spans="1:21" x14ac:dyDescent="0.35">
      <c r="A293" s="2" t="s">
        <v>1298</v>
      </c>
      <c r="B293" s="2" t="s">
        <v>1299</v>
      </c>
      <c r="C293" s="2">
        <v>90</v>
      </c>
      <c r="D293" s="2" t="s">
        <v>138</v>
      </c>
      <c r="E293" s="2" t="s">
        <v>130</v>
      </c>
      <c r="F293" s="2" t="s">
        <v>2517</v>
      </c>
      <c r="G293" s="2" t="s">
        <v>102</v>
      </c>
      <c r="H293" s="2">
        <v>180</v>
      </c>
      <c r="I293" s="2">
        <v>45.7</v>
      </c>
      <c r="J293" s="2" t="s">
        <v>65</v>
      </c>
      <c r="K293" s="2" t="s">
        <v>65</v>
      </c>
      <c r="L293" s="2" t="s">
        <v>175</v>
      </c>
      <c r="M293" s="3">
        <v>45275</v>
      </c>
      <c r="N293" s="4">
        <f>Table1_3[[#This Row],[Admission_Date]]</f>
        <v>45275</v>
      </c>
      <c r="O293" s="5">
        <f>Table1_3[[#This Row],[Admission_Date]]</f>
        <v>45275</v>
      </c>
      <c r="P293" s="2">
        <v>23773.11</v>
      </c>
      <c r="Q293" s="2">
        <f t="shared" si="4"/>
        <v>38</v>
      </c>
      <c r="R293" s="2" t="s">
        <v>2525</v>
      </c>
      <c r="S293" s="2">
        <v>14.104938271604938</v>
      </c>
      <c r="T293" s="2" t="s">
        <v>2524</v>
      </c>
      <c r="U293" t="str">
        <f>INDEX(Table2[Doctor_Name],MATCH(Table1_3[[#This Row],[Department]],Table2[Department],0))</f>
        <v>Dr. Arvind Wilson</v>
      </c>
    </row>
    <row r="294" spans="1:21" x14ac:dyDescent="0.35">
      <c r="A294" s="2" t="s">
        <v>957</v>
      </c>
      <c r="B294" s="2" t="s">
        <v>958</v>
      </c>
      <c r="C294" s="2">
        <v>89</v>
      </c>
      <c r="D294" s="2" t="s">
        <v>29</v>
      </c>
      <c r="E294" s="2" t="s">
        <v>45</v>
      </c>
      <c r="F294" s="2" t="s">
        <v>2518</v>
      </c>
      <c r="G294" s="2" t="s">
        <v>60</v>
      </c>
      <c r="H294" s="2">
        <v>145.6</v>
      </c>
      <c r="I294" s="2">
        <v>66</v>
      </c>
      <c r="J294" s="2" t="s">
        <v>65</v>
      </c>
      <c r="K294" s="2" t="s">
        <v>19</v>
      </c>
      <c r="L294" s="2" t="s">
        <v>107</v>
      </c>
      <c r="M294" s="3">
        <v>44426</v>
      </c>
      <c r="N294" s="4">
        <f>Table1_3[[#This Row],[Admission_Date]]</f>
        <v>44426</v>
      </c>
      <c r="O294" s="5">
        <f>Table1_3[[#This Row],[Admission_Date]]</f>
        <v>44426</v>
      </c>
      <c r="P294" s="2">
        <v>7823.73</v>
      </c>
      <c r="Q294" s="2">
        <f t="shared" si="4"/>
        <v>83</v>
      </c>
      <c r="R294" s="2" t="s">
        <v>2525</v>
      </c>
      <c r="S294" s="2">
        <v>31.133015336312038</v>
      </c>
      <c r="T294" s="2" t="s">
        <v>2522</v>
      </c>
      <c r="U294" t="str">
        <f>INDEX(Table2[Doctor_Name],MATCH(Table1_3[[#This Row],[Department]],Table2[Department],0))</f>
        <v>Dr. Anita Sanchez</v>
      </c>
    </row>
    <row r="295" spans="1:21" x14ac:dyDescent="0.35">
      <c r="A295" s="2" t="s">
        <v>1209</v>
      </c>
      <c r="B295" s="2" t="s">
        <v>1210</v>
      </c>
      <c r="C295" s="2">
        <v>17</v>
      </c>
      <c r="D295" s="2" t="s">
        <v>138</v>
      </c>
      <c r="E295" s="2" t="s">
        <v>146</v>
      </c>
      <c r="F295" s="2" t="s">
        <v>36</v>
      </c>
      <c r="G295" s="2" t="s">
        <v>60</v>
      </c>
      <c r="H295" s="2">
        <v>186.6</v>
      </c>
      <c r="I295" s="2" t="s">
        <v>2519</v>
      </c>
      <c r="J295" s="2" t="s">
        <v>19</v>
      </c>
      <c r="K295" s="2" t="s">
        <v>36</v>
      </c>
      <c r="L295" s="2" t="s">
        <v>107</v>
      </c>
      <c r="M295" s="3">
        <v>45040</v>
      </c>
      <c r="N295" s="4">
        <f>Table1_3[[#This Row],[Admission_Date]]</f>
        <v>45040</v>
      </c>
      <c r="O295" s="5">
        <f>Table1_3[[#This Row],[Admission_Date]]</f>
        <v>45040</v>
      </c>
      <c r="P295" s="2">
        <v>17468.23</v>
      </c>
      <c r="Q295" s="2">
        <f t="shared" si="4"/>
        <v>83</v>
      </c>
      <c r="R295" s="2" t="s">
        <v>2521</v>
      </c>
      <c r="S295" s="2" t="s">
        <v>36</v>
      </c>
      <c r="T295" s="2" t="s">
        <v>36</v>
      </c>
      <c r="U295" t="str">
        <f>INDEX(Table2[Doctor_Name],MATCH(Table1_3[[#This Row],[Department]],Table2[Department],0))</f>
        <v>Dr. Anita Sanchez</v>
      </c>
    </row>
    <row r="296" spans="1:21" x14ac:dyDescent="0.35">
      <c r="A296" s="2" t="s">
        <v>629</v>
      </c>
      <c r="B296" s="2" t="s">
        <v>630</v>
      </c>
      <c r="C296" s="2">
        <v>39</v>
      </c>
      <c r="D296" s="2" t="s">
        <v>52</v>
      </c>
      <c r="E296" s="2" t="s">
        <v>89</v>
      </c>
      <c r="F296" s="2" t="s">
        <v>79</v>
      </c>
      <c r="G296" s="2" t="s">
        <v>90</v>
      </c>
      <c r="H296" s="2">
        <v>171</v>
      </c>
      <c r="I296" s="2">
        <v>109</v>
      </c>
      <c r="J296" s="2" t="s">
        <v>19</v>
      </c>
      <c r="K296" s="2" t="s">
        <v>65</v>
      </c>
      <c r="L296" s="2" t="s">
        <v>107</v>
      </c>
      <c r="M296" s="3">
        <v>45130</v>
      </c>
      <c r="N296" s="4">
        <f>Table1_3[[#This Row],[Admission_Date]]</f>
        <v>45130</v>
      </c>
      <c r="O296" s="5">
        <f>Table1_3[[#This Row],[Admission_Date]]</f>
        <v>45130</v>
      </c>
      <c r="P296" s="2">
        <v>31122.2</v>
      </c>
      <c r="Q296" s="2">
        <f t="shared" si="4"/>
        <v>83</v>
      </c>
      <c r="R296" s="2" t="s">
        <v>2523</v>
      </c>
      <c r="S296" s="2">
        <v>37.276426934783359</v>
      </c>
      <c r="T296" s="2" t="s">
        <v>2522</v>
      </c>
      <c r="U296" t="str">
        <f>INDEX(Table2[Doctor_Name],MATCH(Table1_3[[#This Row],[Department]],Table2[Department],0))</f>
        <v>Dr. Anita Sanchez</v>
      </c>
    </row>
    <row r="297" spans="1:21" x14ac:dyDescent="0.35">
      <c r="A297" s="2" t="s">
        <v>777</v>
      </c>
      <c r="B297" s="2" t="s">
        <v>2453</v>
      </c>
      <c r="C297" s="2">
        <v>41</v>
      </c>
      <c r="D297" s="2" t="s">
        <v>52</v>
      </c>
      <c r="E297" s="2" t="s">
        <v>89</v>
      </c>
      <c r="F297" s="2" t="s">
        <v>2517</v>
      </c>
      <c r="G297" s="2" t="s">
        <v>417</v>
      </c>
      <c r="H297" s="2">
        <v>165.4</v>
      </c>
      <c r="I297" s="2">
        <v>128</v>
      </c>
      <c r="J297" s="2" t="s">
        <v>65</v>
      </c>
      <c r="K297" s="2" t="s">
        <v>65</v>
      </c>
      <c r="L297" s="2" t="s">
        <v>175</v>
      </c>
      <c r="M297" s="3">
        <v>44529</v>
      </c>
      <c r="N297" s="4">
        <f>Table1_3[[#This Row],[Admission_Date]]</f>
        <v>44529</v>
      </c>
      <c r="O297" s="5">
        <f>Table1_3[[#This Row],[Admission_Date]]</f>
        <v>44529</v>
      </c>
      <c r="P297" s="2">
        <v>15427.21</v>
      </c>
      <c r="Q297" s="2">
        <f t="shared" si="4"/>
        <v>38</v>
      </c>
      <c r="R297" s="2" t="s">
        <v>2523</v>
      </c>
      <c r="S297" s="2">
        <v>46.788482430193767</v>
      </c>
      <c r="T297" s="2" t="s">
        <v>2522</v>
      </c>
      <c r="U297" t="str">
        <f>INDEX(Table2[Doctor_Name],MATCH(Table1_3[[#This Row],[Department]],Table2[Department],0))</f>
        <v>Dr. Arvind Wilson</v>
      </c>
    </row>
    <row r="298" spans="1:21" x14ac:dyDescent="0.35">
      <c r="A298" s="2" t="s">
        <v>1037</v>
      </c>
      <c r="B298" s="2" t="s">
        <v>1038</v>
      </c>
      <c r="C298" s="2">
        <v>95</v>
      </c>
      <c r="D298" s="2" t="s">
        <v>52</v>
      </c>
      <c r="E298" s="2" t="s">
        <v>78</v>
      </c>
      <c r="F298" s="2" t="s">
        <v>17</v>
      </c>
      <c r="G298" s="2" t="s">
        <v>54</v>
      </c>
      <c r="H298" s="2">
        <v>178</v>
      </c>
      <c r="I298" s="2">
        <v>108</v>
      </c>
      <c r="J298" s="2" t="s">
        <v>36</v>
      </c>
      <c r="K298" s="2" t="s">
        <v>36</v>
      </c>
      <c r="L298" s="2" t="s">
        <v>86</v>
      </c>
      <c r="M298" s="3">
        <v>45102</v>
      </c>
      <c r="N298" s="4">
        <f>Table1_3[[#This Row],[Admission_Date]]</f>
        <v>45102</v>
      </c>
      <c r="O298" s="5">
        <f>Table1_3[[#This Row],[Admission_Date]]</f>
        <v>45102</v>
      </c>
      <c r="P298" s="2">
        <v>34612.78</v>
      </c>
      <c r="Q298" s="2">
        <f t="shared" si="4"/>
        <v>35</v>
      </c>
      <c r="R298" s="2" t="s">
        <v>2525</v>
      </c>
      <c r="S298" s="2">
        <v>34.086605226612804</v>
      </c>
      <c r="T298" s="2" t="s">
        <v>2522</v>
      </c>
      <c r="U298" t="str">
        <f>INDEX(Table2[Doctor_Name],MATCH(Table1_3[[#This Row],[Department]],Table2[Department],0))</f>
        <v>Dr. Meera Torres</v>
      </c>
    </row>
    <row r="299" spans="1:21" x14ac:dyDescent="0.35">
      <c r="A299" s="2" t="s">
        <v>984</v>
      </c>
      <c r="B299" s="2" t="s">
        <v>985</v>
      </c>
      <c r="C299" s="2">
        <v>29</v>
      </c>
      <c r="D299" s="2" t="s">
        <v>138</v>
      </c>
      <c r="E299" s="2" t="s">
        <v>146</v>
      </c>
      <c r="F299" s="2" t="s">
        <v>79</v>
      </c>
      <c r="G299" s="2" t="s">
        <v>102</v>
      </c>
      <c r="H299" s="2">
        <v>177.6</v>
      </c>
      <c r="I299" s="2">
        <v>60</v>
      </c>
      <c r="J299" s="2" t="s">
        <v>65</v>
      </c>
      <c r="K299" s="2" t="s">
        <v>19</v>
      </c>
      <c r="L299" s="2" t="s">
        <v>69</v>
      </c>
      <c r="M299" s="3">
        <v>45109</v>
      </c>
      <c r="N299" s="4">
        <f>Table1_3[[#This Row],[Admission_Date]]</f>
        <v>45109</v>
      </c>
      <c r="O299" s="5">
        <f>Table1_3[[#This Row],[Admission_Date]]</f>
        <v>45109</v>
      </c>
      <c r="P299" s="2">
        <v>33742.11</v>
      </c>
      <c r="Q299" s="2">
        <f t="shared" si="4"/>
        <v>107</v>
      </c>
      <c r="R299" s="2" t="s">
        <v>2523</v>
      </c>
      <c r="S299" s="2">
        <v>19.022400779157536</v>
      </c>
      <c r="T299" s="2" t="s">
        <v>1567</v>
      </c>
      <c r="U299" t="str">
        <f>INDEX(Table2[Doctor_Name],MATCH(Table1_3[[#This Row],[Department]],Table2[Department],0))</f>
        <v>Dr. Vikram Wang</v>
      </c>
    </row>
    <row r="300" spans="1:21" x14ac:dyDescent="0.35">
      <c r="A300" s="2" t="s">
        <v>1255</v>
      </c>
      <c r="B300" s="2" t="s">
        <v>1256</v>
      </c>
      <c r="C300" s="2">
        <v>86</v>
      </c>
      <c r="D300" s="2" t="s">
        <v>138</v>
      </c>
      <c r="E300" s="2" t="s">
        <v>45</v>
      </c>
      <c r="F300" s="2" t="s">
        <v>17</v>
      </c>
      <c r="G300" s="2" t="s">
        <v>25</v>
      </c>
      <c r="H300" s="2">
        <v>153.6</v>
      </c>
      <c r="I300" s="2" t="s">
        <v>2519</v>
      </c>
      <c r="J300" s="2" t="s">
        <v>65</v>
      </c>
      <c r="K300" s="2" t="s">
        <v>65</v>
      </c>
      <c r="L300" s="2" t="s">
        <v>107</v>
      </c>
      <c r="M300" s="3">
        <v>44964</v>
      </c>
      <c r="N300" s="4">
        <f>Table1_3[[#This Row],[Admission_Date]]</f>
        <v>44964</v>
      </c>
      <c r="O300" s="5">
        <f>Table1_3[[#This Row],[Admission_Date]]</f>
        <v>44964</v>
      </c>
      <c r="P300" s="2">
        <v>4836.13</v>
      </c>
      <c r="Q300" s="2">
        <f t="shared" si="4"/>
        <v>83</v>
      </c>
      <c r="R300" s="2" t="s">
        <v>2525</v>
      </c>
      <c r="S300" s="2" t="s">
        <v>36</v>
      </c>
      <c r="T300" s="2" t="s">
        <v>36</v>
      </c>
      <c r="U300" t="str">
        <f>INDEX(Table2[Doctor_Name],MATCH(Table1_3[[#This Row],[Department]],Table2[Department],0))</f>
        <v>Dr. Anita Sanchez</v>
      </c>
    </row>
    <row r="301" spans="1:21" x14ac:dyDescent="0.35">
      <c r="A301" s="2" t="s">
        <v>341</v>
      </c>
      <c r="B301" s="2" t="s">
        <v>2423</v>
      </c>
      <c r="C301" s="2">
        <v>55</v>
      </c>
      <c r="D301" s="2" t="s">
        <v>138</v>
      </c>
      <c r="E301" s="2" t="s">
        <v>217</v>
      </c>
      <c r="F301" s="2" t="s">
        <v>17</v>
      </c>
      <c r="G301" s="2" t="s">
        <v>36</v>
      </c>
      <c r="H301" s="2">
        <v>162</v>
      </c>
      <c r="I301" s="2">
        <v>129</v>
      </c>
      <c r="J301" s="2" t="s">
        <v>65</v>
      </c>
      <c r="K301" s="2" t="s">
        <v>65</v>
      </c>
      <c r="L301" s="2" t="s">
        <v>42</v>
      </c>
      <c r="M301" s="3">
        <v>45171</v>
      </c>
      <c r="N301" s="4">
        <f>Table1_3[[#This Row],[Admission_Date]]</f>
        <v>45171</v>
      </c>
      <c r="O301" s="5">
        <f>Table1_3[[#This Row],[Admission_Date]]</f>
        <v>45171</v>
      </c>
      <c r="P301" s="2">
        <v>827.63</v>
      </c>
      <c r="Q301" s="2">
        <f t="shared" si="4"/>
        <v>45</v>
      </c>
      <c r="R301" s="2" t="s">
        <v>2523</v>
      </c>
      <c r="S301" s="2">
        <v>49.1540923639689</v>
      </c>
      <c r="T301" s="2" t="s">
        <v>2522</v>
      </c>
      <c r="U301" t="str">
        <f>INDEX(Table2[Doctor_Name],MATCH(Table1_3[[#This Row],[Department]],Table2[Department],0))</f>
        <v>Dr. Rahul Nair</v>
      </c>
    </row>
    <row r="302" spans="1:21" x14ac:dyDescent="0.35">
      <c r="A302" s="2" t="s">
        <v>245</v>
      </c>
      <c r="B302" s="2" t="s">
        <v>246</v>
      </c>
      <c r="C302" s="2">
        <v>24</v>
      </c>
      <c r="D302" s="2" t="s">
        <v>138</v>
      </c>
      <c r="E302" s="2" t="s">
        <v>45</v>
      </c>
      <c r="F302" s="2" t="s">
        <v>79</v>
      </c>
      <c r="G302" s="2" t="s">
        <v>18</v>
      </c>
      <c r="H302" s="2">
        <v>171</v>
      </c>
      <c r="I302" s="2">
        <v>67.400000000000006</v>
      </c>
      <c r="J302" s="2" t="s">
        <v>65</v>
      </c>
      <c r="K302" s="2" t="s">
        <v>19</v>
      </c>
      <c r="L302" s="2" t="s">
        <v>42</v>
      </c>
      <c r="M302" s="3">
        <v>44202</v>
      </c>
      <c r="N302" s="4">
        <f>Table1_3[[#This Row],[Admission_Date]]</f>
        <v>44202</v>
      </c>
      <c r="O302" s="5">
        <f>Table1_3[[#This Row],[Admission_Date]]</f>
        <v>44202</v>
      </c>
      <c r="P302" s="2">
        <v>13502.51</v>
      </c>
      <c r="Q302" s="2">
        <f t="shared" si="4"/>
        <v>45</v>
      </c>
      <c r="R302" s="2" t="s">
        <v>2527</v>
      </c>
      <c r="S302" s="2">
        <v>23.049827297288058</v>
      </c>
      <c r="T302" s="2" t="s">
        <v>1567</v>
      </c>
      <c r="U302" t="str">
        <f>INDEX(Table2[Doctor_Name],MATCH(Table1_3[[#This Row],[Department]],Table2[Department],0))</f>
        <v>Dr. Rahul Nair</v>
      </c>
    </row>
    <row r="303" spans="1:21" x14ac:dyDescent="0.35">
      <c r="A303" s="2" t="s">
        <v>1220</v>
      </c>
      <c r="B303" s="2" t="s">
        <v>586</v>
      </c>
      <c r="C303" s="2">
        <v>89</v>
      </c>
      <c r="D303" s="2" t="s">
        <v>29</v>
      </c>
      <c r="E303" s="2" t="s">
        <v>130</v>
      </c>
      <c r="F303" s="2" t="s">
        <v>273</v>
      </c>
      <c r="G303" s="2" t="s">
        <v>198</v>
      </c>
      <c r="H303" s="2">
        <v>153.80000000000001</v>
      </c>
      <c r="I303" s="2">
        <v>72.599999999999994</v>
      </c>
      <c r="J303" s="2" t="s">
        <v>36</v>
      </c>
      <c r="K303" s="2" t="s">
        <v>19</v>
      </c>
      <c r="L303" s="2" t="s">
        <v>199</v>
      </c>
      <c r="M303" s="3">
        <v>44725</v>
      </c>
      <c r="N303" s="4">
        <f>Table1_3[[#This Row],[Admission_Date]]</f>
        <v>44725</v>
      </c>
      <c r="O303" s="5">
        <f>Table1_3[[#This Row],[Admission_Date]]</f>
        <v>44725</v>
      </c>
      <c r="P303" s="2">
        <v>34452.69</v>
      </c>
      <c r="Q303" s="2">
        <f t="shared" si="4"/>
        <v>34</v>
      </c>
      <c r="R303" s="2" t="s">
        <v>2525</v>
      </c>
      <c r="S303" s="2">
        <v>30.691912385158975</v>
      </c>
      <c r="T303" s="2" t="s">
        <v>2522</v>
      </c>
      <c r="U303" t="str">
        <f>INDEX(Table2[Doctor_Name],MATCH(Table1_3[[#This Row],[Department]],Table2[Department],0))</f>
        <v>Dr. Vikram Torres</v>
      </c>
    </row>
    <row r="304" spans="1:21" x14ac:dyDescent="0.35">
      <c r="A304" s="2" t="s">
        <v>1118</v>
      </c>
      <c r="B304" s="2" t="s">
        <v>2481</v>
      </c>
      <c r="C304" s="2">
        <v>75</v>
      </c>
      <c r="D304" s="2" t="s">
        <v>29</v>
      </c>
      <c r="E304" s="2" t="s">
        <v>89</v>
      </c>
      <c r="F304" s="2" t="s">
        <v>17</v>
      </c>
      <c r="G304" s="2" t="s">
        <v>60</v>
      </c>
      <c r="H304" s="2">
        <v>188</v>
      </c>
      <c r="I304" s="2" t="s">
        <v>2519</v>
      </c>
      <c r="J304" s="2" t="s">
        <v>65</v>
      </c>
      <c r="K304" s="2" t="s">
        <v>36</v>
      </c>
      <c r="L304" s="2" t="s">
        <v>86</v>
      </c>
      <c r="M304" s="3">
        <v>44926</v>
      </c>
      <c r="N304" s="4">
        <f>Table1_3[[#This Row],[Admission_Date]]</f>
        <v>44926</v>
      </c>
      <c r="O304" s="5">
        <f>Table1_3[[#This Row],[Admission_Date]]</f>
        <v>44926</v>
      </c>
      <c r="P304" s="2">
        <v>14847.88</v>
      </c>
      <c r="Q304" s="2">
        <f t="shared" si="4"/>
        <v>35</v>
      </c>
      <c r="R304" s="2" t="s">
        <v>2525</v>
      </c>
      <c r="S304" s="2" t="s">
        <v>36</v>
      </c>
      <c r="T304" s="2" t="s">
        <v>36</v>
      </c>
      <c r="U304" t="str">
        <f>INDEX(Table2[Doctor_Name],MATCH(Table1_3[[#This Row],[Department]],Table2[Department],0))</f>
        <v>Dr. Meera Torres</v>
      </c>
    </row>
    <row r="305" spans="1:21" x14ac:dyDescent="0.35">
      <c r="A305" s="2" t="s">
        <v>1102</v>
      </c>
      <c r="B305" s="2" t="s">
        <v>1103</v>
      </c>
      <c r="C305" s="2">
        <v>22</v>
      </c>
      <c r="D305" s="2" t="s">
        <v>52</v>
      </c>
      <c r="E305" s="2" t="s">
        <v>24</v>
      </c>
      <c r="F305" s="2" t="s">
        <v>17</v>
      </c>
      <c r="G305" s="2" t="s">
        <v>36</v>
      </c>
      <c r="H305" s="2">
        <v>160.9</v>
      </c>
      <c r="I305" s="2">
        <v>102</v>
      </c>
      <c r="J305" s="2" t="s">
        <v>19</v>
      </c>
      <c r="K305" s="2" t="s">
        <v>65</v>
      </c>
      <c r="L305" s="2" t="s">
        <v>107</v>
      </c>
      <c r="M305" s="3">
        <v>44491</v>
      </c>
      <c r="N305" s="4">
        <f>Table1_3[[#This Row],[Admission_Date]]</f>
        <v>44491</v>
      </c>
      <c r="O305" s="5">
        <f>Table1_3[[#This Row],[Admission_Date]]</f>
        <v>44491</v>
      </c>
      <c r="P305" s="2">
        <v>7279</v>
      </c>
      <c r="Q305" s="2">
        <f t="shared" si="4"/>
        <v>83</v>
      </c>
      <c r="R305" s="2" t="s">
        <v>2527</v>
      </c>
      <c r="S305" s="2">
        <v>39.39926168873734</v>
      </c>
      <c r="T305" s="2" t="s">
        <v>2522</v>
      </c>
      <c r="U305" t="str">
        <f>INDEX(Table2[Doctor_Name],MATCH(Table1_3[[#This Row],[Department]],Table2[Department],0))</f>
        <v>Dr. Anita Sanchez</v>
      </c>
    </row>
    <row r="306" spans="1:21" x14ac:dyDescent="0.35">
      <c r="A306" s="2" t="s">
        <v>1391</v>
      </c>
      <c r="B306" s="2" t="s">
        <v>2505</v>
      </c>
      <c r="C306" s="2">
        <v>25</v>
      </c>
      <c r="D306" s="2" t="s">
        <v>29</v>
      </c>
      <c r="E306" s="2" t="s">
        <v>84</v>
      </c>
      <c r="F306" s="2" t="s">
        <v>134</v>
      </c>
      <c r="G306" s="2" t="s">
        <v>60</v>
      </c>
      <c r="H306" s="2">
        <v>190.7</v>
      </c>
      <c r="I306" s="2">
        <v>83.2</v>
      </c>
      <c r="J306" s="2" t="s">
        <v>36</v>
      </c>
      <c r="K306" s="2" t="s">
        <v>65</v>
      </c>
      <c r="L306" s="2" t="s">
        <v>69</v>
      </c>
      <c r="M306" s="3">
        <v>45102</v>
      </c>
      <c r="N306" s="4">
        <f>Table1_3[[#This Row],[Admission_Date]]</f>
        <v>45102</v>
      </c>
      <c r="O306" s="5">
        <f>Table1_3[[#This Row],[Admission_Date]]</f>
        <v>45102</v>
      </c>
      <c r="P306" s="2">
        <v>26394.49</v>
      </c>
      <c r="Q306" s="2">
        <f t="shared" si="4"/>
        <v>107</v>
      </c>
      <c r="R306" s="2" t="s">
        <v>2527</v>
      </c>
      <c r="S306" s="2">
        <v>22.878204632891439</v>
      </c>
      <c r="T306" s="2" t="s">
        <v>1567</v>
      </c>
      <c r="U306" t="str">
        <f>INDEX(Table2[Doctor_Name],MATCH(Table1_3[[#This Row],[Department]],Table2[Department],0))</f>
        <v>Dr. Vikram Wang</v>
      </c>
    </row>
    <row r="307" spans="1:21" x14ac:dyDescent="0.35">
      <c r="A307" s="2" t="s">
        <v>1040</v>
      </c>
      <c r="B307" s="2" t="s">
        <v>2473</v>
      </c>
      <c r="C307" s="2">
        <v>19</v>
      </c>
      <c r="D307" s="2" t="s">
        <v>138</v>
      </c>
      <c r="E307" s="2" t="s">
        <v>130</v>
      </c>
      <c r="F307" s="2" t="s">
        <v>79</v>
      </c>
      <c r="G307" s="2" t="s">
        <v>208</v>
      </c>
      <c r="H307" s="2">
        <v>185</v>
      </c>
      <c r="I307" s="2">
        <v>111</v>
      </c>
      <c r="J307" s="2" t="s">
        <v>19</v>
      </c>
      <c r="K307" s="2" t="s">
        <v>65</v>
      </c>
      <c r="L307" s="2" t="s">
        <v>42</v>
      </c>
      <c r="M307" s="3">
        <v>44991</v>
      </c>
      <c r="N307" s="4">
        <f>Table1_3[[#This Row],[Admission_Date]]</f>
        <v>44991</v>
      </c>
      <c r="O307" s="5">
        <f>Table1_3[[#This Row],[Admission_Date]]</f>
        <v>44991</v>
      </c>
      <c r="P307" s="2">
        <v>0</v>
      </c>
      <c r="Q307" s="2">
        <f t="shared" si="4"/>
        <v>45</v>
      </c>
      <c r="R307" s="2" t="s">
        <v>2527</v>
      </c>
      <c r="S307" s="2">
        <v>32.432432432432428</v>
      </c>
      <c r="T307" s="2" t="s">
        <v>2522</v>
      </c>
      <c r="U307" t="str">
        <f>INDEX(Table2[Doctor_Name],MATCH(Table1_3[[#This Row],[Department]],Table2[Department],0))</f>
        <v>Dr. Rahul Nair</v>
      </c>
    </row>
    <row r="308" spans="1:21" x14ac:dyDescent="0.35">
      <c r="A308" s="2" t="s">
        <v>310</v>
      </c>
      <c r="B308" s="2" t="s">
        <v>311</v>
      </c>
      <c r="C308" s="2" t="s">
        <v>2519</v>
      </c>
      <c r="D308" s="2" t="s">
        <v>29</v>
      </c>
      <c r="E308" s="2" t="s">
        <v>24</v>
      </c>
      <c r="F308" s="2" t="s">
        <v>134</v>
      </c>
      <c r="G308" s="2" t="s">
        <v>36</v>
      </c>
      <c r="H308" s="2">
        <v>155.9</v>
      </c>
      <c r="I308" s="2">
        <v>72</v>
      </c>
      <c r="J308" s="2" t="s">
        <v>19</v>
      </c>
      <c r="K308" s="2" t="s">
        <v>36</v>
      </c>
      <c r="L308" s="2" t="s">
        <v>107</v>
      </c>
      <c r="M308" s="3">
        <v>44909</v>
      </c>
      <c r="N308" s="4">
        <f>Table1_3[[#This Row],[Admission_Date]]</f>
        <v>44909</v>
      </c>
      <c r="O308" s="5">
        <f>Table1_3[[#This Row],[Admission_Date]]</f>
        <v>44909</v>
      </c>
      <c r="P308" s="2">
        <v>8447.59</v>
      </c>
      <c r="Q308" s="2">
        <f t="shared" si="4"/>
        <v>83</v>
      </c>
      <c r="R308" s="2" t="s">
        <v>36</v>
      </c>
      <c r="S308" s="2">
        <v>29.623765830714163</v>
      </c>
      <c r="T308" s="2" t="s">
        <v>2526</v>
      </c>
      <c r="U308" t="str">
        <f>INDEX(Table2[Doctor_Name],MATCH(Table1_3[[#This Row],[Department]],Table2[Department],0))</f>
        <v>Dr. Anita Sanchez</v>
      </c>
    </row>
    <row r="309" spans="1:21" x14ac:dyDescent="0.35">
      <c r="A309" s="2" t="s">
        <v>965</v>
      </c>
      <c r="B309" s="2" t="s">
        <v>2468</v>
      </c>
      <c r="C309" s="2">
        <v>2</v>
      </c>
      <c r="D309" s="2" t="s">
        <v>52</v>
      </c>
      <c r="E309" s="2" t="s">
        <v>111</v>
      </c>
      <c r="F309" s="2" t="s">
        <v>2518</v>
      </c>
      <c r="G309" s="2" t="s">
        <v>280</v>
      </c>
      <c r="H309" s="2">
        <v>193</v>
      </c>
      <c r="I309" s="2">
        <v>49</v>
      </c>
      <c r="J309" s="2" t="s">
        <v>19</v>
      </c>
      <c r="K309" s="2" t="s">
        <v>36</v>
      </c>
      <c r="L309" s="2" t="s">
        <v>31</v>
      </c>
      <c r="M309" s="3">
        <v>44947</v>
      </c>
      <c r="N309" s="4">
        <f>Table1_3[[#This Row],[Admission_Date]]</f>
        <v>44947</v>
      </c>
      <c r="O309" s="5">
        <f>Table1_3[[#This Row],[Admission_Date]]</f>
        <v>44947</v>
      </c>
      <c r="P309" s="2">
        <v>29674.34</v>
      </c>
      <c r="Q309" s="2">
        <f t="shared" si="4"/>
        <v>37</v>
      </c>
      <c r="R309" s="2" t="s">
        <v>2521</v>
      </c>
      <c r="S309" s="2">
        <v>13.154715562833902</v>
      </c>
      <c r="T309" s="2" t="s">
        <v>2524</v>
      </c>
      <c r="U309" t="str">
        <f>INDEX(Table2[Doctor_Name],MATCH(Table1_3[[#This Row],[Department]],Table2[Department],0))</f>
        <v>Dr. Arvind Chen</v>
      </c>
    </row>
    <row r="310" spans="1:21" x14ac:dyDescent="0.35">
      <c r="A310" s="2" t="s">
        <v>758</v>
      </c>
      <c r="B310" s="2" t="s">
        <v>759</v>
      </c>
      <c r="C310" s="2">
        <v>53</v>
      </c>
      <c r="D310" s="2" t="s">
        <v>138</v>
      </c>
      <c r="E310" s="2" t="s">
        <v>130</v>
      </c>
      <c r="F310" s="2" t="s">
        <v>17</v>
      </c>
      <c r="G310" s="2" t="s">
        <v>198</v>
      </c>
      <c r="H310" s="2">
        <v>160.80000000000001</v>
      </c>
      <c r="I310" s="2">
        <v>103</v>
      </c>
      <c r="J310" s="2" t="s">
        <v>65</v>
      </c>
      <c r="K310" s="2" t="s">
        <v>65</v>
      </c>
      <c r="L310" s="2" t="s">
        <v>31</v>
      </c>
      <c r="M310" s="3">
        <v>44433</v>
      </c>
      <c r="N310" s="4">
        <f>Table1_3[[#This Row],[Admission_Date]]</f>
        <v>44433</v>
      </c>
      <c r="O310" s="5">
        <f>Table1_3[[#This Row],[Admission_Date]]</f>
        <v>44433</v>
      </c>
      <c r="P310" s="2">
        <v>14538.77</v>
      </c>
      <c r="Q310" s="2">
        <f t="shared" si="4"/>
        <v>37</v>
      </c>
      <c r="R310" s="2" t="s">
        <v>2523</v>
      </c>
      <c r="S310" s="2">
        <v>39.8350288359199</v>
      </c>
      <c r="T310" s="2" t="s">
        <v>2522</v>
      </c>
      <c r="U310" t="str">
        <f>INDEX(Table2[Doctor_Name],MATCH(Table1_3[[#This Row],[Department]],Table2[Department],0))</f>
        <v>Dr. Arvind Chen</v>
      </c>
    </row>
    <row r="311" spans="1:21" x14ac:dyDescent="0.35">
      <c r="A311" s="2" t="s">
        <v>1017</v>
      </c>
      <c r="B311" s="2" t="s">
        <v>163</v>
      </c>
      <c r="C311" s="2">
        <v>55</v>
      </c>
      <c r="D311" s="2" t="s">
        <v>138</v>
      </c>
      <c r="E311" s="2" t="s">
        <v>45</v>
      </c>
      <c r="F311" s="2" t="s">
        <v>36</v>
      </c>
      <c r="G311" s="2" t="s">
        <v>191</v>
      </c>
      <c r="H311" s="2">
        <v>176</v>
      </c>
      <c r="I311" s="2">
        <v>76</v>
      </c>
      <c r="J311" s="2" t="s">
        <v>65</v>
      </c>
      <c r="K311" s="2" t="s">
        <v>19</v>
      </c>
      <c r="L311" s="2" t="s">
        <v>103</v>
      </c>
      <c r="M311" s="3">
        <v>45017</v>
      </c>
      <c r="N311" s="4">
        <f>Table1_3[[#This Row],[Admission_Date]]</f>
        <v>45017</v>
      </c>
      <c r="O311" s="5">
        <f>Table1_3[[#This Row],[Admission_Date]]</f>
        <v>45017</v>
      </c>
      <c r="P311" s="2">
        <v>29732.58</v>
      </c>
      <c r="Q311" s="2">
        <f t="shared" si="4"/>
        <v>31</v>
      </c>
      <c r="R311" s="2" t="s">
        <v>2523</v>
      </c>
      <c r="S311" s="2">
        <v>24.535123966942148</v>
      </c>
      <c r="T311" s="2" t="s">
        <v>1567</v>
      </c>
      <c r="U311" t="str">
        <f>INDEX(Table2[Doctor_Name],MATCH(Table1_3[[#This Row],[Department]],Table2[Department],0))</f>
        <v>Dr. Suresh Johnson</v>
      </c>
    </row>
    <row r="312" spans="1:21" x14ac:dyDescent="0.35">
      <c r="A312" s="2" t="s">
        <v>307</v>
      </c>
      <c r="B312" s="2" t="s">
        <v>308</v>
      </c>
      <c r="C312" s="2">
        <v>77</v>
      </c>
      <c r="D312" s="2" t="s">
        <v>138</v>
      </c>
      <c r="E312" s="2" t="s">
        <v>45</v>
      </c>
      <c r="F312" s="2" t="s">
        <v>134</v>
      </c>
      <c r="G312" s="2" t="s">
        <v>112</v>
      </c>
      <c r="H312" s="2">
        <v>180.8</v>
      </c>
      <c r="I312" s="2">
        <v>108.9</v>
      </c>
      <c r="J312" s="2" t="s">
        <v>36</v>
      </c>
      <c r="K312" s="2" t="s">
        <v>19</v>
      </c>
      <c r="L312" s="2" t="s">
        <v>107</v>
      </c>
      <c r="M312" s="3">
        <v>45171</v>
      </c>
      <c r="N312" s="4">
        <f>Table1_3[[#This Row],[Admission_Date]]</f>
        <v>45171</v>
      </c>
      <c r="O312" s="5">
        <f>Table1_3[[#This Row],[Admission_Date]]</f>
        <v>45171</v>
      </c>
      <c r="P312" s="2">
        <v>30356.69</v>
      </c>
      <c r="Q312" s="2">
        <f t="shared" si="4"/>
        <v>83</v>
      </c>
      <c r="R312" s="2" t="s">
        <v>2525</v>
      </c>
      <c r="S312" s="2">
        <v>33.314325710705617</v>
      </c>
      <c r="T312" s="2" t="s">
        <v>2522</v>
      </c>
      <c r="U312" t="str">
        <f>INDEX(Table2[Doctor_Name],MATCH(Table1_3[[#This Row],[Department]],Table2[Department],0))</f>
        <v>Dr. Anita Sanchez</v>
      </c>
    </row>
    <row r="313" spans="1:21" x14ac:dyDescent="0.35">
      <c r="A313" s="2" t="s">
        <v>811</v>
      </c>
      <c r="B313" s="2" t="s">
        <v>2456</v>
      </c>
      <c r="C313" s="2">
        <v>64</v>
      </c>
      <c r="D313" s="2" t="s">
        <v>138</v>
      </c>
      <c r="E313" s="2" t="s">
        <v>24</v>
      </c>
      <c r="F313" s="2" t="s">
        <v>17</v>
      </c>
      <c r="G313" s="2" t="s">
        <v>35</v>
      </c>
      <c r="H313" s="2">
        <v>183.7</v>
      </c>
      <c r="I313" s="2">
        <v>85</v>
      </c>
      <c r="J313" s="2" t="s">
        <v>19</v>
      </c>
      <c r="K313" s="2" t="s">
        <v>19</v>
      </c>
      <c r="L313" s="2" t="s">
        <v>2537</v>
      </c>
      <c r="M313" s="3">
        <v>44866</v>
      </c>
      <c r="N313" s="4">
        <f>Table1_3[[#This Row],[Admission_Date]]</f>
        <v>44866</v>
      </c>
      <c r="O313" s="5">
        <f>Table1_3[[#This Row],[Admission_Date]]</f>
        <v>44866</v>
      </c>
      <c r="P313" s="2">
        <v>15486.25</v>
      </c>
      <c r="Q313" s="2">
        <f t="shared" si="4"/>
        <v>30</v>
      </c>
      <c r="R313" s="2" t="s">
        <v>2525</v>
      </c>
      <c r="S313" s="2">
        <v>25.188401837390199</v>
      </c>
      <c r="T313" s="2" t="s">
        <v>2526</v>
      </c>
      <c r="U313" t="str">
        <f>INDEX(Table2[Doctor_Name],MATCH(Table1_3[[#This Row],[Department]],Table2[Department],0))</f>
        <v>Dr. Sunita Zhang</v>
      </c>
    </row>
    <row r="314" spans="1:21" x14ac:dyDescent="0.35">
      <c r="A314" s="2" t="s">
        <v>520</v>
      </c>
      <c r="B314" s="2" t="s">
        <v>521</v>
      </c>
      <c r="C314" s="2">
        <v>85</v>
      </c>
      <c r="D314" s="2" t="s">
        <v>138</v>
      </c>
      <c r="E314" s="2" t="s">
        <v>16</v>
      </c>
      <c r="F314" s="2" t="s">
        <v>273</v>
      </c>
      <c r="G314" s="2" t="s">
        <v>18</v>
      </c>
      <c r="H314" s="2">
        <v>162</v>
      </c>
      <c r="I314" s="2">
        <v>42.8</v>
      </c>
      <c r="J314" s="2" t="s">
        <v>65</v>
      </c>
      <c r="K314" s="2" t="s">
        <v>19</v>
      </c>
      <c r="L314" s="2" t="s">
        <v>31</v>
      </c>
      <c r="M314" s="3">
        <v>44752</v>
      </c>
      <c r="N314" s="4">
        <f>Table1_3[[#This Row],[Admission_Date]]</f>
        <v>44752</v>
      </c>
      <c r="O314" s="5">
        <f>Table1_3[[#This Row],[Admission_Date]]</f>
        <v>44752</v>
      </c>
      <c r="P314" s="2">
        <v>0</v>
      </c>
      <c r="Q314" s="2">
        <f t="shared" si="4"/>
        <v>37</v>
      </c>
      <c r="R314" s="2" t="s">
        <v>2525</v>
      </c>
      <c r="S314" s="2">
        <v>16.30848955951836</v>
      </c>
      <c r="T314" s="2" t="s">
        <v>2524</v>
      </c>
      <c r="U314" t="str">
        <f>INDEX(Table2[Doctor_Name],MATCH(Table1_3[[#This Row],[Department]],Table2[Department],0))</f>
        <v>Dr. Arvind Chen</v>
      </c>
    </row>
    <row r="315" spans="1:21" x14ac:dyDescent="0.35">
      <c r="A315" s="2" t="s">
        <v>726</v>
      </c>
      <c r="B315" s="2" t="s">
        <v>727</v>
      </c>
      <c r="C315" s="2">
        <v>56</v>
      </c>
      <c r="D315" s="2" t="s">
        <v>29</v>
      </c>
      <c r="E315" s="2" t="s">
        <v>59</v>
      </c>
      <c r="F315" s="2" t="s">
        <v>2518</v>
      </c>
      <c r="G315" s="2" t="s">
        <v>160</v>
      </c>
      <c r="H315" s="2">
        <v>146.9</v>
      </c>
      <c r="I315" s="2">
        <v>101.7</v>
      </c>
      <c r="J315" s="2" t="s">
        <v>65</v>
      </c>
      <c r="K315" s="2" t="s">
        <v>19</v>
      </c>
      <c r="L315" s="2" t="s">
        <v>199</v>
      </c>
      <c r="M315" s="3">
        <v>44517</v>
      </c>
      <c r="N315" s="4">
        <f>Table1_3[[#This Row],[Admission_Date]]</f>
        <v>44517</v>
      </c>
      <c r="O315" s="5">
        <f>Table1_3[[#This Row],[Admission_Date]]</f>
        <v>44517</v>
      </c>
      <c r="P315" s="2">
        <v>3258.99</v>
      </c>
      <c r="Q315" s="2">
        <f t="shared" si="4"/>
        <v>34</v>
      </c>
      <c r="R315" s="2" t="s">
        <v>2523</v>
      </c>
      <c r="S315" s="2">
        <v>47.127821123736709</v>
      </c>
      <c r="T315" s="2" t="s">
        <v>2522</v>
      </c>
      <c r="U315" t="str">
        <f>INDEX(Table2[Doctor_Name],MATCH(Table1_3[[#This Row],[Department]],Table2[Department],0))</f>
        <v>Dr. Vikram Torres</v>
      </c>
    </row>
    <row r="316" spans="1:21" x14ac:dyDescent="0.35">
      <c r="A316" s="2" t="s">
        <v>554</v>
      </c>
      <c r="B316" s="2" t="s">
        <v>555</v>
      </c>
      <c r="C316" s="2">
        <v>8</v>
      </c>
      <c r="D316" s="2" t="s">
        <v>29</v>
      </c>
      <c r="E316" s="2" t="s">
        <v>115</v>
      </c>
      <c r="F316" s="2" t="s">
        <v>141</v>
      </c>
      <c r="G316" s="2" t="s">
        <v>208</v>
      </c>
      <c r="H316" s="2">
        <v>171.9</v>
      </c>
      <c r="I316" s="2">
        <v>96.3</v>
      </c>
      <c r="J316" s="2" t="s">
        <v>65</v>
      </c>
      <c r="K316" s="2" t="s">
        <v>19</v>
      </c>
      <c r="L316" s="2" t="s">
        <v>107</v>
      </c>
      <c r="M316" s="3">
        <v>44958</v>
      </c>
      <c r="N316" s="4">
        <f>Table1_3[[#This Row],[Admission_Date]]</f>
        <v>44958</v>
      </c>
      <c r="O316" s="5">
        <f>Table1_3[[#This Row],[Admission_Date]]</f>
        <v>44958</v>
      </c>
      <c r="P316" s="2">
        <v>17887.830000000002</v>
      </c>
      <c r="Q316" s="2">
        <f t="shared" si="4"/>
        <v>83</v>
      </c>
      <c r="R316" s="2" t="s">
        <v>2521</v>
      </c>
      <c r="S316" s="2">
        <v>32.589262599404861</v>
      </c>
      <c r="T316" s="2" t="s">
        <v>2522</v>
      </c>
      <c r="U316" t="str">
        <f>INDEX(Table2[Doctor_Name],MATCH(Table1_3[[#This Row],[Department]],Table2[Department],0))</f>
        <v>Dr. Anita Sanchez</v>
      </c>
    </row>
    <row r="317" spans="1:21" x14ac:dyDescent="0.35">
      <c r="A317" s="2" t="s">
        <v>774</v>
      </c>
      <c r="B317" s="2" t="s">
        <v>775</v>
      </c>
      <c r="C317" s="2">
        <v>40</v>
      </c>
      <c r="D317" s="2" t="s">
        <v>138</v>
      </c>
      <c r="E317" s="2" t="s">
        <v>24</v>
      </c>
      <c r="F317" s="2" t="s">
        <v>120</v>
      </c>
      <c r="G317" s="2" t="s">
        <v>35</v>
      </c>
      <c r="H317" s="2">
        <v>190</v>
      </c>
      <c r="I317" s="2">
        <v>121.1</v>
      </c>
      <c r="J317" s="2" t="s">
        <v>19</v>
      </c>
      <c r="K317" s="2" t="s">
        <v>36</v>
      </c>
      <c r="L317" s="2" t="s">
        <v>31</v>
      </c>
      <c r="M317" s="3">
        <v>44242</v>
      </c>
      <c r="N317" s="4">
        <f>Table1_3[[#This Row],[Admission_Date]]</f>
        <v>44242</v>
      </c>
      <c r="O317" s="5">
        <f>Table1_3[[#This Row],[Admission_Date]]</f>
        <v>44242</v>
      </c>
      <c r="P317" s="2">
        <v>19198.009999999998</v>
      </c>
      <c r="Q317" s="2">
        <f t="shared" si="4"/>
        <v>37</v>
      </c>
      <c r="R317" s="2" t="s">
        <v>2523</v>
      </c>
      <c r="S317" s="2">
        <v>33.545706371191137</v>
      </c>
      <c r="T317" s="2" t="s">
        <v>2522</v>
      </c>
      <c r="U317" t="str">
        <f>INDEX(Table2[Doctor_Name],MATCH(Table1_3[[#This Row],[Department]],Table2[Department],0))</f>
        <v>Dr. Arvind Chen</v>
      </c>
    </row>
    <row r="318" spans="1:21" x14ac:dyDescent="0.35">
      <c r="A318" s="2" t="s">
        <v>706</v>
      </c>
      <c r="B318" s="2" t="s">
        <v>505</v>
      </c>
      <c r="C318" s="2">
        <v>86</v>
      </c>
      <c r="D318" s="2" t="s">
        <v>138</v>
      </c>
      <c r="E318" s="2" t="s">
        <v>73</v>
      </c>
      <c r="F318" s="2" t="s">
        <v>79</v>
      </c>
      <c r="G318" s="2" t="s">
        <v>102</v>
      </c>
      <c r="H318" s="2">
        <v>186</v>
      </c>
      <c r="I318" s="2">
        <v>88.2</v>
      </c>
      <c r="J318" s="2" t="s">
        <v>19</v>
      </c>
      <c r="K318" s="2" t="s">
        <v>19</v>
      </c>
      <c r="L318" s="2" t="s">
        <v>107</v>
      </c>
      <c r="M318" s="3">
        <v>45020</v>
      </c>
      <c r="N318" s="4">
        <f>Table1_3[[#This Row],[Admission_Date]]</f>
        <v>45020</v>
      </c>
      <c r="O318" s="5">
        <f>Table1_3[[#This Row],[Admission_Date]]</f>
        <v>45020</v>
      </c>
      <c r="P318" s="2">
        <v>31416.33</v>
      </c>
      <c r="Q318" s="2">
        <f t="shared" si="4"/>
        <v>83</v>
      </c>
      <c r="R318" s="2" t="s">
        <v>2525</v>
      </c>
      <c r="S318" s="2">
        <v>25.494276795005199</v>
      </c>
      <c r="T318" s="2" t="s">
        <v>2526</v>
      </c>
      <c r="U318" t="str">
        <f>INDEX(Table2[Doctor_Name],MATCH(Table1_3[[#This Row],[Department]],Table2[Department],0))</f>
        <v>Dr. Anita Sanchez</v>
      </c>
    </row>
    <row r="319" spans="1:21" x14ac:dyDescent="0.35">
      <c r="A319" s="2" t="s">
        <v>1045</v>
      </c>
      <c r="B319" s="2" t="s">
        <v>1046</v>
      </c>
      <c r="C319" s="2">
        <v>68</v>
      </c>
      <c r="D319" s="2" t="s">
        <v>138</v>
      </c>
      <c r="E319" s="2" t="s">
        <v>217</v>
      </c>
      <c r="F319" s="2" t="s">
        <v>2518</v>
      </c>
      <c r="G319" s="2" t="s">
        <v>102</v>
      </c>
      <c r="H319" s="2">
        <v>172</v>
      </c>
      <c r="I319" s="2">
        <v>67</v>
      </c>
      <c r="J319" s="2" t="s">
        <v>65</v>
      </c>
      <c r="K319" s="2" t="s">
        <v>19</v>
      </c>
      <c r="L319" s="2" t="s">
        <v>103</v>
      </c>
      <c r="M319" s="3">
        <v>44711</v>
      </c>
      <c r="N319" s="4">
        <f>Table1_3[[#This Row],[Admission_Date]]</f>
        <v>44711</v>
      </c>
      <c r="O319" s="5">
        <f>Table1_3[[#This Row],[Admission_Date]]</f>
        <v>44711</v>
      </c>
      <c r="P319" s="2">
        <v>26010.78</v>
      </c>
      <c r="Q319" s="2">
        <f t="shared" si="4"/>
        <v>31</v>
      </c>
      <c r="R319" s="2" t="s">
        <v>2525</v>
      </c>
      <c r="S319" s="2">
        <v>22.647376960519203</v>
      </c>
      <c r="T319" s="2" t="s">
        <v>1567</v>
      </c>
      <c r="U319" t="str">
        <f>INDEX(Table2[Doctor_Name],MATCH(Table1_3[[#This Row],[Department]],Table2[Department],0))</f>
        <v>Dr. Suresh Johnson</v>
      </c>
    </row>
    <row r="320" spans="1:21" x14ac:dyDescent="0.35">
      <c r="A320" s="2" t="s">
        <v>509</v>
      </c>
      <c r="B320" s="2" t="s">
        <v>510</v>
      </c>
      <c r="C320" s="2">
        <v>28</v>
      </c>
      <c r="D320" s="2" t="s">
        <v>29</v>
      </c>
      <c r="E320" s="2" t="s">
        <v>111</v>
      </c>
      <c r="F320" s="2" t="s">
        <v>2517</v>
      </c>
      <c r="G320" s="2" t="s">
        <v>417</v>
      </c>
      <c r="H320" s="2" t="s">
        <v>2519</v>
      </c>
      <c r="I320" s="2">
        <v>105</v>
      </c>
      <c r="J320" s="2" t="s">
        <v>19</v>
      </c>
      <c r="K320" s="2" t="s">
        <v>65</v>
      </c>
      <c r="L320" s="2" t="s">
        <v>107</v>
      </c>
      <c r="M320" s="3">
        <v>45144</v>
      </c>
      <c r="N320" s="4">
        <f>Table1_3[[#This Row],[Admission_Date]]</f>
        <v>45144</v>
      </c>
      <c r="O320" s="5">
        <f>Table1_3[[#This Row],[Admission_Date]]</f>
        <v>45144</v>
      </c>
      <c r="P320" s="2">
        <v>12398.51</v>
      </c>
      <c r="Q320" s="2">
        <f t="shared" si="4"/>
        <v>83</v>
      </c>
      <c r="R320" s="2" t="s">
        <v>2523</v>
      </c>
      <c r="S320" s="2" t="s">
        <v>36</v>
      </c>
      <c r="T320" s="2" t="s">
        <v>36</v>
      </c>
      <c r="U320" t="str">
        <f>INDEX(Table2[Doctor_Name],MATCH(Table1_3[[#This Row],[Department]],Table2[Department],0))</f>
        <v>Dr. Anita Sanchez</v>
      </c>
    </row>
    <row r="321" spans="1:21" x14ac:dyDescent="0.35">
      <c r="A321" s="2" t="s">
        <v>798</v>
      </c>
      <c r="B321" s="2" t="s">
        <v>799</v>
      </c>
      <c r="C321" s="2">
        <v>82</v>
      </c>
      <c r="D321" s="2" t="s">
        <v>138</v>
      </c>
      <c r="E321" s="2" t="s">
        <v>217</v>
      </c>
      <c r="F321" s="2" t="s">
        <v>273</v>
      </c>
      <c r="G321" s="2" t="s">
        <v>36</v>
      </c>
      <c r="H321" s="2">
        <v>186</v>
      </c>
      <c r="I321" s="2">
        <v>50</v>
      </c>
      <c r="J321" s="2" t="s">
        <v>19</v>
      </c>
      <c r="K321" s="2" t="s">
        <v>65</v>
      </c>
      <c r="L321" s="2" t="s">
        <v>42</v>
      </c>
      <c r="M321" s="3">
        <v>44832</v>
      </c>
      <c r="N321" s="4">
        <f>Table1_3[[#This Row],[Admission_Date]]</f>
        <v>44832</v>
      </c>
      <c r="O321" s="5">
        <f>Table1_3[[#This Row],[Admission_Date]]</f>
        <v>44832</v>
      </c>
      <c r="P321" s="2">
        <v>24526.43</v>
      </c>
      <c r="Q321" s="2">
        <f t="shared" si="4"/>
        <v>45</v>
      </c>
      <c r="R321" s="2" t="s">
        <v>2525</v>
      </c>
      <c r="S321" s="2">
        <v>14.452537865649207</v>
      </c>
      <c r="T321" s="2" t="s">
        <v>2524</v>
      </c>
      <c r="U321" t="str">
        <f>INDEX(Table2[Doctor_Name],MATCH(Table1_3[[#This Row],[Department]],Table2[Department],0))</f>
        <v>Dr. Rahul Nair</v>
      </c>
    </row>
    <row r="322" spans="1:21" x14ac:dyDescent="0.35">
      <c r="A322" s="2" t="s">
        <v>1433</v>
      </c>
      <c r="B322" s="2" t="s">
        <v>1434</v>
      </c>
      <c r="C322" s="2" t="s">
        <v>2519</v>
      </c>
      <c r="D322" s="2" t="s">
        <v>29</v>
      </c>
      <c r="E322" s="2" t="s">
        <v>53</v>
      </c>
      <c r="F322" s="2" t="s">
        <v>120</v>
      </c>
      <c r="G322" s="2" t="s">
        <v>54</v>
      </c>
      <c r="H322" s="2">
        <v>193.2</v>
      </c>
      <c r="I322" s="2">
        <v>45</v>
      </c>
      <c r="J322" s="2" t="s">
        <v>65</v>
      </c>
      <c r="K322" s="2" t="s">
        <v>65</v>
      </c>
      <c r="L322" s="2" t="s">
        <v>107</v>
      </c>
      <c r="M322" s="3">
        <v>44505</v>
      </c>
      <c r="N322" s="4">
        <f>Table1_3[[#This Row],[Admission_Date]]</f>
        <v>44505</v>
      </c>
      <c r="O322" s="5">
        <f>Table1_3[[#This Row],[Admission_Date]]</f>
        <v>44505</v>
      </c>
      <c r="P322" s="2">
        <v>44890.28</v>
      </c>
      <c r="Q322" s="2">
        <f t="shared" ref="Q322:Q385" si="5">SUMPRODUCT(($L$2:$L$5000=L322)*($O$2:$O$5000&gt;P322))+1</f>
        <v>39</v>
      </c>
      <c r="R322" s="2" t="s">
        <v>36</v>
      </c>
      <c r="S322" s="2">
        <v>12.055862042359477</v>
      </c>
      <c r="T322" s="2" t="s">
        <v>2524</v>
      </c>
      <c r="U322" t="str">
        <f>INDEX(Table2[Doctor_Name],MATCH(Table1_3[[#This Row],[Department]],Table2[Department],0))</f>
        <v>Dr. Anita Sanchez</v>
      </c>
    </row>
    <row r="323" spans="1:21" x14ac:dyDescent="0.35">
      <c r="A323" s="2" t="s">
        <v>225</v>
      </c>
      <c r="B323" s="2" t="s">
        <v>2416</v>
      </c>
      <c r="C323" s="2">
        <v>65</v>
      </c>
      <c r="D323" s="2" t="s">
        <v>138</v>
      </c>
      <c r="E323" s="2" t="s">
        <v>78</v>
      </c>
      <c r="F323" s="2" t="s">
        <v>273</v>
      </c>
      <c r="G323" s="2" t="s">
        <v>160</v>
      </c>
      <c r="H323" s="2">
        <v>180</v>
      </c>
      <c r="I323" s="2">
        <v>68.2</v>
      </c>
      <c r="J323" s="2" t="s">
        <v>36</v>
      </c>
      <c r="K323" s="2" t="s">
        <v>36</v>
      </c>
      <c r="L323" s="2" t="s">
        <v>226</v>
      </c>
      <c r="M323" s="3">
        <v>45063</v>
      </c>
      <c r="N323" s="4">
        <f>Table1_3[[#This Row],[Admission_Date]]</f>
        <v>45063</v>
      </c>
      <c r="O323" s="5">
        <f>Table1_3[[#This Row],[Admission_Date]]</f>
        <v>45063</v>
      </c>
      <c r="P323" s="2">
        <v>7641.76</v>
      </c>
      <c r="Q323" s="2">
        <f t="shared" si="5"/>
        <v>35</v>
      </c>
      <c r="R323" s="2" t="s">
        <v>2525</v>
      </c>
      <c r="S323" s="2">
        <v>21.049382716049383</v>
      </c>
      <c r="T323" s="2" t="s">
        <v>1567</v>
      </c>
      <c r="U323" t="str">
        <f>INDEX(Table2[Doctor_Name],MATCH(Table1_3[[#This Row],[Department]],Table2[Department],0))</f>
        <v>Dr. Vikram Khan</v>
      </c>
    </row>
    <row r="324" spans="1:21" x14ac:dyDescent="0.35">
      <c r="A324" s="2" t="s">
        <v>1389</v>
      </c>
      <c r="B324" s="2" t="s">
        <v>2504</v>
      </c>
      <c r="C324" s="2">
        <v>90</v>
      </c>
      <c r="D324" s="2" t="s">
        <v>138</v>
      </c>
      <c r="E324" s="2" t="s">
        <v>24</v>
      </c>
      <c r="F324" s="2" t="s">
        <v>36</v>
      </c>
      <c r="G324" s="2" t="s">
        <v>160</v>
      </c>
      <c r="H324" s="2">
        <v>157</v>
      </c>
      <c r="I324" s="2">
        <v>104.4</v>
      </c>
      <c r="J324" s="2" t="s">
        <v>19</v>
      </c>
      <c r="K324" s="2" t="s">
        <v>36</v>
      </c>
      <c r="L324" s="2" t="s">
        <v>86</v>
      </c>
      <c r="M324" s="3">
        <v>44268</v>
      </c>
      <c r="N324" s="4">
        <f>Table1_3[[#This Row],[Admission_Date]]</f>
        <v>44268</v>
      </c>
      <c r="O324" s="5">
        <f>Table1_3[[#This Row],[Admission_Date]]</f>
        <v>44268</v>
      </c>
      <c r="P324" s="2">
        <v>33280.06</v>
      </c>
      <c r="Q324" s="2">
        <f t="shared" si="5"/>
        <v>35</v>
      </c>
      <c r="R324" s="2" t="s">
        <v>2525</v>
      </c>
      <c r="S324" s="2">
        <v>42.354659418231975</v>
      </c>
      <c r="T324" s="2" t="s">
        <v>2522</v>
      </c>
      <c r="U324" t="str">
        <f>INDEX(Table2[Doctor_Name],MATCH(Table1_3[[#This Row],[Department]],Table2[Department],0))</f>
        <v>Dr. Meera Torres</v>
      </c>
    </row>
    <row r="325" spans="1:21" x14ac:dyDescent="0.35">
      <c r="A325" s="2" t="s">
        <v>275</v>
      </c>
      <c r="B325" s="2" t="s">
        <v>276</v>
      </c>
      <c r="C325" s="2">
        <v>90</v>
      </c>
      <c r="D325" s="2" t="s">
        <v>138</v>
      </c>
      <c r="E325" s="2" t="s">
        <v>146</v>
      </c>
      <c r="F325" s="2" t="s">
        <v>134</v>
      </c>
      <c r="G325" s="2" t="s">
        <v>18</v>
      </c>
      <c r="H325" s="2">
        <v>180</v>
      </c>
      <c r="I325" s="2" t="s">
        <v>2519</v>
      </c>
      <c r="J325" s="2" t="s">
        <v>65</v>
      </c>
      <c r="K325" s="2" t="s">
        <v>19</v>
      </c>
      <c r="L325" s="2" t="s">
        <v>107</v>
      </c>
      <c r="M325" s="3">
        <v>44381</v>
      </c>
      <c r="N325" s="4">
        <f>Table1_3[[#This Row],[Admission_Date]]</f>
        <v>44381</v>
      </c>
      <c r="O325" s="5">
        <f>Table1_3[[#This Row],[Admission_Date]]</f>
        <v>44381</v>
      </c>
      <c r="P325" s="2">
        <v>15222.43</v>
      </c>
      <c r="Q325" s="2">
        <f t="shared" si="5"/>
        <v>83</v>
      </c>
      <c r="R325" s="2" t="s">
        <v>2525</v>
      </c>
      <c r="S325" s="2" t="s">
        <v>36</v>
      </c>
      <c r="T325" s="2" t="s">
        <v>36</v>
      </c>
      <c r="U325" t="str">
        <f>INDEX(Table2[Doctor_Name],MATCH(Table1_3[[#This Row],[Department]],Table2[Department],0))</f>
        <v>Dr. Anita Sanchez</v>
      </c>
    </row>
    <row r="326" spans="1:21" x14ac:dyDescent="0.35">
      <c r="A326" s="2" t="s">
        <v>1092</v>
      </c>
      <c r="B326" s="2" t="s">
        <v>865</v>
      </c>
      <c r="C326" s="2">
        <v>11</v>
      </c>
      <c r="D326" s="2" t="s">
        <v>138</v>
      </c>
      <c r="E326" s="2" t="s">
        <v>130</v>
      </c>
      <c r="F326" s="2" t="s">
        <v>36</v>
      </c>
      <c r="G326" s="2" t="s">
        <v>160</v>
      </c>
      <c r="H326" s="2">
        <v>188</v>
      </c>
      <c r="I326" s="2">
        <v>119</v>
      </c>
      <c r="J326" s="2" t="s">
        <v>19</v>
      </c>
      <c r="K326" s="2" t="s">
        <v>36</v>
      </c>
      <c r="L326" s="2" t="s">
        <v>107</v>
      </c>
      <c r="M326" s="3">
        <v>44996</v>
      </c>
      <c r="N326" s="4">
        <f>Table1_3[[#This Row],[Admission_Date]]</f>
        <v>44996</v>
      </c>
      <c r="O326" s="5">
        <f>Table1_3[[#This Row],[Admission_Date]]</f>
        <v>44996</v>
      </c>
      <c r="P326" s="2">
        <v>17916.89</v>
      </c>
      <c r="Q326" s="2">
        <f t="shared" si="5"/>
        <v>83</v>
      </c>
      <c r="R326" s="2" t="s">
        <v>2521</v>
      </c>
      <c r="S326" s="2">
        <v>33.669081032141243</v>
      </c>
      <c r="T326" s="2" t="s">
        <v>2522</v>
      </c>
      <c r="U326" t="str">
        <f>INDEX(Table2[Doctor_Name],MATCH(Table1_3[[#This Row],[Department]],Table2[Department],0))</f>
        <v>Dr. Anita Sanchez</v>
      </c>
    </row>
    <row r="327" spans="1:21" x14ac:dyDescent="0.35">
      <c r="A327" s="2" t="s">
        <v>1234</v>
      </c>
      <c r="B327" s="2" t="s">
        <v>1235</v>
      </c>
      <c r="C327" s="2">
        <v>24</v>
      </c>
      <c r="D327" s="2" t="s">
        <v>29</v>
      </c>
      <c r="E327" s="2" t="s">
        <v>230</v>
      </c>
      <c r="F327" s="2" t="s">
        <v>17</v>
      </c>
      <c r="G327" s="2" t="s">
        <v>35</v>
      </c>
      <c r="H327" s="2">
        <v>190.9</v>
      </c>
      <c r="I327" s="2">
        <v>50</v>
      </c>
      <c r="J327" s="2" t="s">
        <v>19</v>
      </c>
      <c r="K327" s="2" t="s">
        <v>36</v>
      </c>
      <c r="L327" s="2" t="s">
        <v>42</v>
      </c>
      <c r="M327" s="3">
        <v>44463</v>
      </c>
      <c r="N327" s="4">
        <f>Table1_3[[#This Row],[Admission_Date]]</f>
        <v>44463</v>
      </c>
      <c r="O327" s="5">
        <f>Table1_3[[#This Row],[Admission_Date]]</f>
        <v>44463</v>
      </c>
      <c r="P327" s="2">
        <v>34444.79</v>
      </c>
      <c r="Q327" s="2">
        <f t="shared" si="5"/>
        <v>45</v>
      </c>
      <c r="R327" s="2" t="s">
        <v>2527</v>
      </c>
      <c r="S327" s="2">
        <v>13.72012750937702</v>
      </c>
      <c r="T327" s="2" t="s">
        <v>2524</v>
      </c>
      <c r="U327" t="str">
        <f>INDEX(Table2[Doctor_Name],MATCH(Table1_3[[#This Row],[Department]],Table2[Department],0))</f>
        <v>Dr. Rahul Nair</v>
      </c>
    </row>
    <row r="328" spans="1:21" x14ac:dyDescent="0.35">
      <c r="A328" s="2" t="s">
        <v>1487</v>
      </c>
      <c r="B328" s="2" t="s">
        <v>279</v>
      </c>
      <c r="C328" s="2">
        <v>42</v>
      </c>
      <c r="D328" s="2" t="s">
        <v>29</v>
      </c>
      <c r="E328" s="2" t="s">
        <v>59</v>
      </c>
      <c r="F328" s="2" t="s">
        <v>2518</v>
      </c>
      <c r="G328" s="2" t="s">
        <v>80</v>
      </c>
      <c r="H328" s="2">
        <v>154.1</v>
      </c>
      <c r="I328" s="2">
        <v>120</v>
      </c>
      <c r="J328" s="2" t="s">
        <v>19</v>
      </c>
      <c r="K328" s="2" t="s">
        <v>19</v>
      </c>
      <c r="L328" s="2" t="s">
        <v>86</v>
      </c>
      <c r="M328" s="3">
        <v>44665</v>
      </c>
      <c r="N328" s="4">
        <f>Table1_3[[#This Row],[Admission_Date]]</f>
        <v>44665</v>
      </c>
      <c r="O328" s="5">
        <f>Table1_3[[#This Row],[Admission_Date]]</f>
        <v>44665</v>
      </c>
      <c r="P328" s="2">
        <v>48719.31</v>
      </c>
      <c r="Q328" s="2">
        <f t="shared" si="5"/>
        <v>1</v>
      </c>
      <c r="R328" s="2" t="s">
        <v>2523</v>
      </c>
      <c r="S328" s="2">
        <v>50.533103183122286</v>
      </c>
      <c r="T328" s="2" t="s">
        <v>2522</v>
      </c>
      <c r="U328" t="str">
        <f>INDEX(Table2[Doctor_Name],MATCH(Table1_3[[#This Row],[Department]],Table2[Department],0))</f>
        <v>Dr. Meera Torres</v>
      </c>
    </row>
    <row r="329" spans="1:21" x14ac:dyDescent="0.35">
      <c r="A329" s="2" t="s">
        <v>895</v>
      </c>
      <c r="B329" s="2" t="s">
        <v>896</v>
      </c>
      <c r="C329" s="2">
        <v>12</v>
      </c>
      <c r="D329" s="2" t="s">
        <v>138</v>
      </c>
      <c r="E329" s="2" t="s">
        <v>73</v>
      </c>
      <c r="F329" s="2" t="s">
        <v>134</v>
      </c>
      <c r="G329" s="2" t="s">
        <v>35</v>
      </c>
      <c r="H329" s="2">
        <v>165.2</v>
      </c>
      <c r="I329" s="2">
        <v>84</v>
      </c>
      <c r="J329" s="2" t="s">
        <v>36</v>
      </c>
      <c r="K329" s="2" t="s">
        <v>65</v>
      </c>
      <c r="L329" s="2" t="s">
        <v>226</v>
      </c>
      <c r="M329" s="3">
        <v>44742</v>
      </c>
      <c r="N329" s="4">
        <f>Table1_3[[#This Row],[Admission_Date]]</f>
        <v>44742</v>
      </c>
      <c r="O329" s="5">
        <f>Table1_3[[#This Row],[Admission_Date]]</f>
        <v>44742</v>
      </c>
      <c r="P329" s="2">
        <v>37448.93</v>
      </c>
      <c r="Q329" s="2">
        <f t="shared" si="5"/>
        <v>35</v>
      </c>
      <c r="R329" s="2" t="s">
        <v>2521</v>
      </c>
      <c r="S329" s="2">
        <v>30.779332704066981</v>
      </c>
      <c r="T329" s="2" t="s">
        <v>2522</v>
      </c>
      <c r="U329" t="str">
        <f>INDEX(Table2[Doctor_Name],MATCH(Table1_3[[#This Row],[Department]],Table2[Department],0))</f>
        <v>Dr. Vikram Khan</v>
      </c>
    </row>
    <row r="330" spans="1:21" x14ac:dyDescent="0.35">
      <c r="A330" s="2" t="s">
        <v>1368</v>
      </c>
      <c r="B330" s="2" t="s">
        <v>1369</v>
      </c>
      <c r="C330" s="2">
        <v>24</v>
      </c>
      <c r="D330" s="2" t="s">
        <v>29</v>
      </c>
      <c r="E330" s="2" t="s">
        <v>89</v>
      </c>
      <c r="F330" s="2" t="s">
        <v>273</v>
      </c>
      <c r="G330" s="2" t="s">
        <v>280</v>
      </c>
      <c r="H330" s="2">
        <v>161</v>
      </c>
      <c r="I330" s="2">
        <v>73.3</v>
      </c>
      <c r="J330" s="2" t="s">
        <v>65</v>
      </c>
      <c r="K330" s="2" t="s">
        <v>19</v>
      </c>
      <c r="L330" s="2" t="s">
        <v>31</v>
      </c>
      <c r="M330" s="3">
        <v>44469</v>
      </c>
      <c r="N330" s="4">
        <f>Table1_3[[#This Row],[Admission_Date]]</f>
        <v>44469</v>
      </c>
      <c r="O330" s="5">
        <f>Table1_3[[#This Row],[Admission_Date]]</f>
        <v>44469</v>
      </c>
      <c r="P330" s="2">
        <v>48732.76</v>
      </c>
      <c r="Q330" s="2">
        <f t="shared" si="5"/>
        <v>1</v>
      </c>
      <c r="R330" s="2" t="s">
        <v>2527</v>
      </c>
      <c r="S330" s="2">
        <v>28.278230006558385</v>
      </c>
      <c r="T330" s="2" t="s">
        <v>2526</v>
      </c>
      <c r="U330" t="str">
        <f>INDEX(Table2[Doctor_Name],MATCH(Table1_3[[#This Row],[Department]],Table2[Department],0))</f>
        <v>Dr. Arvind Chen</v>
      </c>
    </row>
    <row r="331" spans="1:21" x14ac:dyDescent="0.35">
      <c r="A331" s="2" t="s">
        <v>265</v>
      </c>
      <c r="B331" s="2" t="s">
        <v>266</v>
      </c>
      <c r="C331" s="2">
        <v>8</v>
      </c>
      <c r="D331" s="2" t="s">
        <v>29</v>
      </c>
      <c r="E331" s="2" t="s">
        <v>24</v>
      </c>
      <c r="F331" s="2" t="s">
        <v>2517</v>
      </c>
      <c r="G331" s="2" t="s">
        <v>160</v>
      </c>
      <c r="H331" s="2" t="s">
        <v>2519</v>
      </c>
      <c r="I331" s="2" t="s">
        <v>2519</v>
      </c>
      <c r="J331" s="2" t="s">
        <v>19</v>
      </c>
      <c r="K331" s="2" t="s">
        <v>65</v>
      </c>
      <c r="L331" s="2" t="s">
        <v>103</v>
      </c>
      <c r="M331" s="3">
        <v>44904</v>
      </c>
      <c r="N331" s="4">
        <f>Table1_3[[#This Row],[Admission_Date]]</f>
        <v>44904</v>
      </c>
      <c r="O331" s="5">
        <f>Table1_3[[#This Row],[Admission_Date]]</f>
        <v>44904</v>
      </c>
      <c r="P331" s="2">
        <v>33727.47</v>
      </c>
      <c r="Q331" s="2">
        <f t="shared" si="5"/>
        <v>31</v>
      </c>
      <c r="R331" s="2" t="s">
        <v>2521</v>
      </c>
      <c r="S331" s="2" t="s">
        <v>36</v>
      </c>
      <c r="T331" s="2" t="s">
        <v>36</v>
      </c>
      <c r="U331" t="str">
        <f>INDEX(Table2[Doctor_Name],MATCH(Table1_3[[#This Row],[Department]],Table2[Department],0))</f>
        <v>Dr. Suresh Johnson</v>
      </c>
    </row>
    <row r="332" spans="1:21" x14ac:dyDescent="0.35">
      <c r="A332" s="2" t="s">
        <v>1339</v>
      </c>
      <c r="B332" s="2" t="s">
        <v>2499</v>
      </c>
      <c r="C332" s="2">
        <v>44</v>
      </c>
      <c r="D332" s="2" t="s">
        <v>138</v>
      </c>
      <c r="E332" s="2" t="s">
        <v>89</v>
      </c>
      <c r="F332" s="2" t="s">
        <v>79</v>
      </c>
      <c r="G332" s="2" t="s">
        <v>102</v>
      </c>
      <c r="H332" s="2">
        <v>188.1</v>
      </c>
      <c r="I332" s="2">
        <v>44</v>
      </c>
      <c r="J332" s="2" t="s">
        <v>65</v>
      </c>
      <c r="K332" s="2" t="s">
        <v>19</v>
      </c>
      <c r="L332" s="2" t="s">
        <v>55</v>
      </c>
      <c r="M332" s="3">
        <v>45170</v>
      </c>
      <c r="N332" s="4">
        <f>Table1_3[[#This Row],[Admission_Date]]</f>
        <v>45170</v>
      </c>
      <c r="O332" s="5">
        <f>Table1_3[[#This Row],[Admission_Date]]</f>
        <v>45170</v>
      </c>
      <c r="P332" s="2">
        <v>14504.81</v>
      </c>
      <c r="Q332" s="2">
        <f t="shared" si="5"/>
        <v>42</v>
      </c>
      <c r="R332" s="2" t="s">
        <v>2523</v>
      </c>
      <c r="S332" s="2">
        <v>12.435838843964421</v>
      </c>
      <c r="T332" s="2" t="s">
        <v>2524</v>
      </c>
      <c r="U332" t="str">
        <f>INDEX(Table2[Doctor_Name],MATCH(Table1_3[[#This Row],[Department]],Table2[Department],0))</f>
        <v>Dr. Sunita Sanchez</v>
      </c>
    </row>
    <row r="333" spans="1:21" x14ac:dyDescent="0.35">
      <c r="A333" s="2" t="s">
        <v>14</v>
      </c>
      <c r="B333" s="2" t="s">
        <v>15</v>
      </c>
      <c r="C333" s="2">
        <v>41</v>
      </c>
      <c r="D333" s="2" t="s">
        <v>138</v>
      </c>
      <c r="E333" s="2" t="s">
        <v>16</v>
      </c>
      <c r="F333" s="2" t="s">
        <v>17</v>
      </c>
      <c r="G333" s="2" t="s">
        <v>18</v>
      </c>
      <c r="H333" s="2">
        <v>177.9</v>
      </c>
      <c r="I333" s="2" t="s">
        <v>2519</v>
      </c>
      <c r="J333" s="2" t="s">
        <v>19</v>
      </c>
      <c r="K333" s="2" t="s">
        <v>65</v>
      </c>
      <c r="L333" s="2" t="s">
        <v>69</v>
      </c>
      <c r="M333" s="3">
        <v>44270</v>
      </c>
      <c r="N333" s="4">
        <f>Table1_3[[#This Row],[Admission_Date]]</f>
        <v>44270</v>
      </c>
      <c r="O333" s="5">
        <f>Table1_3[[#This Row],[Admission_Date]]</f>
        <v>44270</v>
      </c>
      <c r="P333" s="2">
        <v>13381.09</v>
      </c>
      <c r="Q333" s="2">
        <f t="shared" si="5"/>
        <v>107</v>
      </c>
      <c r="R333" s="2" t="s">
        <v>2523</v>
      </c>
      <c r="S333" s="2" t="s">
        <v>36</v>
      </c>
      <c r="T333" s="2" t="s">
        <v>36</v>
      </c>
      <c r="U333" t="str">
        <f>INDEX(Table2[Doctor_Name],MATCH(Table1_3[[#This Row],[Department]],Table2[Department],0))</f>
        <v>Dr. Vikram Wang</v>
      </c>
    </row>
    <row r="334" spans="1:21" x14ac:dyDescent="0.35">
      <c r="A334" s="2" t="s">
        <v>1197</v>
      </c>
      <c r="B334" s="2" t="s">
        <v>1198</v>
      </c>
      <c r="C334" s="2">
        <v>72</v>
      </c>
      <c r="D334" s="2" t="s">
        <v>138</v>
      </c>
      <c r="E334" s="2" t="s">
        <v>230</v>
      </c>
      <c r="F334" s="2" t="s">
        <v>36</v>
      </c>
      <c r="G334" s="2" t="s">
        <v>198</v>
      </c>
      <c r="H334" s="2">
        <v>172</v>
      </c>
      <c r="I334" s="2">
        <v>58.3</v>
      </c>
      <c r="J334" s="2" t="s">
        <v>19</v>
      </c>
      <c r="K334" s="2" t="s">
        <v>19</v>
      </c>
      <c r="L334" s="2" t="s">
        <v>55</v>
      </c>
      <c r="M334" s="3">
        <v>45149</v>
      </c>
      <c r="N334" s="4">
        <f>Table1_3[[#This Row],[Admission_Date]]</f>
        <v>45149</v>
      </c>
      <c r="O334" s="5">
        <f>Table1_3[[#This Row],[Admission_Date]]</f>
        <v>45149</v>
      </c>
      <c r="P334" s="2">
        <v>28380.75</v>
      </c>
      <c r="Q334" s="2">
        <f t="shared" si="5"/>
        <v>42</v>
      </c>
      <c r="R334" s="2" t="s">
        <v>2525</v>
      </c>
      <c r="S334" s="2">
        <v>19.706598161168198</v>
      </c>
      <c r="T334" s="2" t="s">
        <v>1567</v>
      </c>
      <c r="U334" t="str">
        <f>INDEX(Table2[Doctor_Name],MATCH(Table1_3[[#This Row],[Department]],Table2[Department],0))</f>
        <v>Dr. Sunita Sanchez</v>
      </c>
    </row>
    <row r="335" spans="1:21" x14ac:dyDescent="0.35">
      <c r="A335" s="2" t="s">
        <v>1073</v>
      </c>
      <c r="B335" s="2" t="s">
        <v>1074</v>
      </c>
      <c r="C335" s="2">
        <v>10</v>
      </c>
      <c r="D335" s="2" t="s">
        <v>138</v>
      </c>
      <c r="E335" s="2" t="s">
        <v>130</v>
      </c>
      <c r="F335" s="2" t="s">
        <v>36</v>
      </c>
      <c r="G335" s="2" t="s">
        <v>191</v>
      </c>
      <c r="H335" s="2">
        <v>174</v>
      </c>
      <c r="I335" s="2" t="s">
        <v>2519</v>
      </c>
      <c r="J335" s="2" t="s">
        <v>36</v>
      </c>
      <c r="K335" s="2" t="s">
        <v>36</v>
      </c>
      <c r="L335" s="2" t="s">
        <v>69</v>
      </c>
      <c r="M335" s="3">
        <v>45004</v>
      </c>
      <c r="N335" s="4">
        <f>Table1_3[[#This Row],[Admission_Date]]</f>
        <v>45004</v>
      </c>
      <c r="O335" s="5">
        <f>Table1_3[[#This Row],[Admission_Date]]</f>
        <v>45004</v>
      </c>
      <c r="P335" s="2">
        <v>29721.759999999998</v>
      </c>
      <c r="Q335" s="2">
        <f t="shared" si="5"/>
        <v>107</v>
      </c>
      <c r="R335" s="2" t="s">
        <v>2521</v>
      </c>
      <c r="S335" s="2" t="s">
        <v>36</v>
      </c>
      <c r="T335" s="2" t="s">
        <v>36</v>
      </c>
      <c r="U335" t="str">
        <f>INDEX(Table2[Doctor_Name],MATCH(Table1_3[[#This Row],[Department]],Table2[Department],0))</f>
        <v>Dr. Vikram Wang</v>
      </c>
    </row>
    <row r="336" spans="1:21" x14ac:dyDescent="0.35">
      <c r="A336" s="2" t="s">
        <v>721</v>
      </c>
      <c r="B336" s="2" t="s">
        <v>722</v>
      </c>
      <c r="C336" s="2">
        <v>59</v>
      </c>
      <c r="D336" s="2" t="s">
        <v>29</v>
      </c>
      <c r="E336" s="2" t="s">
        <v>53</v>
      </c>
      <c r="F336" s="2" t="s">
        <v>273</v>
      </c>
      <c r="G336" s="2" t="s">
        <v>102</v>
      </c>
      <c r="H336" s="2">
        <v>181.4</v>
      </c>
      <c r="I336" s="2">
        <v>106</v>
      </c>
      <c r="J336" s="2" t="s">
        <v>65</v>
      </c>
      <c r="K336" s="2" t="s">
        <v>19</v>
      </c>
      <c r="L336" s="2" t="s">
        <v>42</v>
      </c>
      <c r="M336" s="3">
        <v>44628</v>
      </c>
      <c r="N336" s="4">
        <f>Table1_3[[#This Row],[Admission_Date]]</f>
        <v>44628</v>
      </c>
      <c r="O336" s="5">
        <f>Table1_3[[#This Row],[Admission_Date]]</f>
        <v>44628</v>
      </c>
      <c r="P336" s="2">
        <v>40008.28</v>
      </c>
      <c r="Q336" s="2">
        <f t="shared" si="5"/>
        <v>45</v>
      </c>
      <c r="R336" s="2" t="s">
        <v>2523</v>
      </c>
      <c r="S336" s="2">
        <v>32.213009436588386</v>
      </c>
      <c r="T336" s="2" t="s">
        <v>2522</v>
      </c>
      <c r="U336" t="str">
        <f>INDEX(Table2[Doctor_Name],MATCH(Table1_3[[#This Row],[Department]],Table2[Department],0))</f>
        <v>Dr. Rahul Nair</v>
      </c>
    </row>
    <row r="337" spans="1:21" x14ac:dyDescent="0.35">
      <c r="A337" s="2" t="s">
        <v>531</v>
      </c>
      <c r="B337" s="2" t="s">
        <v>532</v>
      </c>
      <c r="C337" s="2">
        <v>52</v>
      </c>
      <c r="D337" s="2" t="s">
        <v>138</v>
      </c>
      <c r="E337" s="2" t="s">
        <v>24</v>
      </c>
      <c r="F337" s="2" t="s">
        <v>2518</v>
      </c>
      <c r="G337" s="2" t="s">
        <v>90</v>
      </c>
      <c r="H337" s="2">
        <v>160.5</v>
      </c>
      <c r="I337" s="2">
        <v>84.2</v>
      </c>
      <c r="J337" s="2" t="s">
        <v>36</v>
      </c>
      <c r="K337" s="2" t="s">
        <v>19</v>
      </c>
      <c r="L337" s="2" t="s">
        <v>86</v>
      </c>
      <c r="M337" s="3">
        <v>44465</v>
      </c>
      <c r="N337" s="4">
        <f>Table1_3[[#This Row],[Admission_Date]]</f>
        <v>44465</v>
      </c>
      <c r="O337" s="5">
        <f>Table1_3[[#This Row],[Admission_Date]]</f>
        <v>44465</v>
      </c>
      <c r="P337" s="2">
        <v>33443.25</v>
      </c>
      <c r="Q337" s="2">
        <f t="shared" si="5"/>
        <v>35</v>
      </c>
      <c r="R337" s="2" t="s">
        <v>2523</v>
      </c>
      <c r="S337" s="2">
        <v>32.6860181869353</v>
      </c>
      <c r="T337" s="2" t="s">
        <v>2522</v>
      </c>
      <c r="U337" t="str">
        <f>INDEX(Table2[Doctor_Name],MATCH(Table1_3[[#This Row],[Department]],Table2[Department],0))</f>
        <v>Dr. Meera Torres</v>
      </c>
    </row>
    <row r="338" spans="1:21" x14ac:dyDescent="0.35">
      <c r="A338" s="2" t="s">
        <v>109</v>
      </c>
      <c r="B338" s="2" t="s">
        <v>372</v>
      </c>
      <c r="C338" s="2">
        <v>12</v>
      </c>
      <c r="D338" s="2" t="s">
        <v>29</v>
      </c>
      <c r="E338" s="2" t="s">
        <v>217</v>
      </c>
      <c r="F338" s="2" t="s">
        <v>17</v>
      </c>
      <c r="G338" s="2" t="s">
        <v>124</v>
      </c>
      <c r="H338" s="2">
        <v>151.6</v>
      </c>
      <c r="I338" s="2" t="s">
        <v>2519</v>
      </c>
      <c r="J338" s="2" t="s">
        <v>65</v>
      </c>
      <c r="K338" s="2" t="s">
        <v>36</v>
      </c>
      <c r="L338" s="2" t="s">
        <v>226</v>
      </c>
      <c r="M338" s="3">
        <v>45052</v>
      </c>
      <c r="N338" s="4">
        <f>Table1_3[[#This Row],[Admission_Date]]</f>
        <v>45052</v>
      </c>
      <c r="O338" s="5">
        <f>Table1_3[[#This Row],[Admission_Date]]</f>
        <v>45052</v>
      </c>
      <c r="P338" s="2">
        <v>26600.3</v>
      </c>
      <c r="Q338" s="2">
        <f t="shared" si="5"/>
        <v>35</v>
      </c>
      <c r="R338" s="2" t="s">
        <v>2521</v>
      </c>
      <c r="S338" s="2" t="s">
        <v>36</v>
      </c>
      <c r="T338" s="2" t="s">
        <v>36</v>
      </c>
      <c r="U338" t="str">
        <f>INDEX(Table2[Doctor_Name],MATCH(Table1_3[[#This Row],[Department]],Table2[Department],0))</f>
        <v>Dr. Vikram Khan</v>
      </c>
    </row>
    <row r="339" spans="1:21" x14ac:dyDescent="0.35">
      <c r="A339" s="2" t="s">
        <v>109</v>
      </c>
      <c r="B339" s="2" t="s">
        <v>110</v>
      </c>
      <c r="C339" s="2">
        <v>93</v>
      </c>
      <c r="D339" s="2" t="s">
        <v>138</v>
      </c>
      <c r="E339" s="2" t="s">
        <v>111</v>
      </c>
      <c r="F339" s="2" t="s">
        <v>36</v>
      </c>
      <c r="G339" s="2" t="s">
        <v>112</v>
      </c>
      <c r="H339" s="2">
        <v>150.1</v>
      </c>
      <c r="I339" s="2">
        <v>82</v>
      </c>
      <c r="J339" s="2" t="s">
        <v>65</v>
      </c>
      <c r="K339" s="2" t="s">
        <v>65</v>
      </c>
      <c r="L339" s="2" t="s">
        <v>103</v>
      </c>
      <c r="M339" s="3">
        <v>44514</v>
      </c>
      <c r="N339" s="4">
        <f>Table1_3[[#This Row],[Admission_Date]]</f>
        <v>44514</v>
      </c>
      <c r="O339" s="5">
        <f>Table1_3[[#This Row],[Admission_Date]]</f>
        <v>44514</v>
      </c>
      <c r="P339" s="2">
        <v>22214.7</v>
      </c>
      <c r="Q339" s="2">
        <f t="shared" si="5"/>
        <v>31</v>
      </c>
      <c r="R339" s="2" t="s">
        <v>2525</v>
      </c>
      <c r="S339" s="2">
        <v>36.395900401287001</v>
      </c>
      <c r="T339" s="2" t="s">
        <v>2522</v>
      </c>
      <c r="U339" t="str">
        <f>INDEX(Table2[Doctor_Name],MATCH(Table1_3[[#This Row],[Department]],Table2[Department],0))</f>
        <v>Dr. Suresh Johnson</v>
      </c>
    </row>
    <row r="340" spans="1:21" x14ac:dyDescent="0.35">
      <c r="A340" s="2" t="s">
        <v>602</v>
      </c>
      <c r="B340" s="2" t="s">
        <v>603</v>
      </c>
      <c r="C340" s="2">
        <v>88</v>
      </c>
      <c r="D340" s="2" t="s">
        <v>29</v>
      </c>
      <c r="E340" s="2" t="s">
        <v>130</v>
      </c>
      <c r="F340" s="2" t="s">
        <v>36</v>
      </c>
      <c r="G340" s="2" t="s">
        <v>280</v>
      </c>
      <c r="H340" s="2">
        <v>185.5</v>
      </c>
      <c r="I340" s="2">
        <v>86</v>
      </c>
      <c r="J340" s="2" t="s">
        <v>65</v>
      </c>
      <c r="K340" s="2" t="s">
        <v>65</v>
      </c>
      <c r="L340" s="2" t="s">
        <v>143</v>
      </c>
      <c r="M340" s="3">
        <v>44626</v>
      </c>
      <c r="N340" s="4">
        <f>Table1_3[[#This Row],[Admission_Date]]</f>
        <v>44626</v>
      </c>
      <c r="O340" s="5">
        <f>Table1_3[[#This Row],[Admission_Date]]</f>
        <v>44626</v>
      </c>
      <c r="P340" s="2">
        <v>13115.58</v>
      </c>
      <c r="Q340" s="2">
        <f t="shared" si="5"/>
        <v>35</v>
      </c>
      <c r="R340" s="2" t="s">
        <v>2525</v>
      </c>
      <c r="S340" s="2">
        <v>24.992553091012127</v>
      </c>
      <c r="T340" s="2" t="s">
        <v>1567</v>
      </c>
      <c r="U340" t="str">
        <f>INDEX(Table2[Doctor_Name],MATCH(Table1_3[[#This Row],[Department]],Table2[Department],0))</f>
        <v>Dr. Neha Liu</v>
      </c>
    </row>
    <row r="341" spans="1:21" x14ac:dyDescent="0.35">
      <c r="A341" s="2" t="s">
        <v>436</v>
      </c>
      <c r="B341" s="2" t="s">
        <v>2429</v>
      </c>
      <c r="C341" s="2">
        <v>51</v>
      </c>
      <c r="D341" s="2" t="s">
        <v>29</v>
      </c>
      <c r="E341" s="2" t="s">
        <v>45</v>
      </c>
      <c r="F341" s="2" t="s">
        <v>36</v>
      </c>
      <c r="G341" s="2" t="s">
        <v>25</v>
      </c>
      <c r="H341" s="2">
        <v>164</v>
      </c>
      <c r="I341" s="2">
        <v>80.5</v>
      </c>
      <c r="J341" s="2" t="s">
        <v>65</v>
      </c>
      <c r="K341" s="2" t="s">
        <v>19</v>
      </c>
      <c r="L341" s="2" t="s">
        <v>226</v>
      </c>
      <c r="M341" s="3">
        <v>44576</v>
      </c>
      <c r="N341" s="4">
        <f>Table1_3[[#This Row],[Admission_Date]]</f>
        <v>44576</v>
      </c>
      <c r="O341" s="5">
        <f>Table1_3[[#This Row],[Admission_Date]]</f>
        <v>44576</v>
      </c>
      <c r="P341" s="2">
        <v>37477.949999999997</v>
      </c>
      <c r="Q341" s="2">
        <f t="shared" si="5"/>
        <v>35</v>
      </c>
      <c r="R341" s="2" t="s">
        <v>2523</v>
      </c>
      <c r="S341" s="2">
        <v>29.930101130279599</v>
      </c>
      <c r="T341" s="2" t="s">
        <v>2526</v>
      </c>
      <c r="U341" t="str">
        <f>INDEX(Table2[Doctor_Name],MATCH(Table1_3[[#This Row],[Department]],Table2[Department],0))</f>
        <v>Dr. Vikram Khan</v>
      </c>
    </row>
    <row r="342" spans="1:21" x14ac:dyDescent="0.35">
      <c r="A342" s="2" t="s">
        <v>1134</v>
      </c>
      <c r="B342" s="2" t="s">
        <v>2483</v>
      </c>
      <c r="C342" s="2">
        <v>22</v>
      </c>
      <c r="D342" s="2" t="s">
        <v>29</v>
      </c>
      <c r="E342" s="2" t="s">
        <v>16</v>
      </c>
      <c r="F342" s="2" t="s">
        <v>2517</v>
      </c>
      <c r="G342" s="2" t="s">
        <v>25</v>
      </c>
      <c r="H342" s="2">
        <v>162</v>
      </c>
      <c r="I342" s="2">
        <v>113.2</v>
      </c>
      <c r="J342" s="2" t="s">
        <v>36</v>
      </c>
      <c r="K342" s="2" t="s">
        <v>36</v>
      </c>
      <c r="L342" s="2" t="s">
        <v>55</v>
      </c>
      <c r="M342" s="3">
        <v>45005</v>
      </c>
      <c r="N342" s="4">
        <f>Table1_3[[#This Row],[Admission_Date]]</f>
        <v>45005</v>
      </c>
      <c r="O342" s="5">
        <f>Table1_3[[#This Row],[Admission_Date]]</f>
        <v>45005</v>
      </c>
      <c r="P342" s="2">
        <v>4837.9399999999996</v>
      </c>
      <c r="Q342" s="2">
        <f t="shared" si="5"/>
        <v>42</v>
      </c>
      <c r="R342" s="2" t="s">
        <v>2527</v>
      </c>
      <c r="S342" s="2">
        <v>43.133668648071932</v>
      </c>
      <c r="T342" s="2" t="s">
        <v>2522</v>
      </c>
      <c r="U342" t="str">
        <f>INDEX(Table2[Doctor_Name],MATCH(Table1_3[[#This Row],[Department]],Table2[Department],0))</f>
        <v>Dr. Sunita Sanchez</v>
      </c>
    </row>
    <row r="343" spans="1:21" x14ac:dyDescent="0.35">
      <c r="A343" s="2" t="s">
        <v>323</v>
      </c>
      <c r="B343" s="2" t="s">
        <v>324</v>
      </c>
      <c r="C343" s="2">
        <v>84</v>
      </c>
      <c r="D343" s="2" t="s">
        <v>29</v>
      </c>
      <c r="E343" s="2" t="s">
        <v>24</v>
      </c>
      <c r="F343" s="2" t="s">
        <v>2517</v>
      </c>
      <c r="G343" s="2" t="s">
        <v>60</v>
      </c>
      <c r="H343" s="2">
        <v>192</v>
      </c>
      <c r="I343" s="2">
        <v>109</v>
      </c>
      <c r="J343" s="2" t="s">
        <v>65</v>
      </c>
      <c r="K343" s="2" t="s">
        <v>19</v>
      </c>
      <c r="L343" s="2" t="s">
        <v>69</v>
      </c>
      <c r="M343" s="3">
        <v>44435</v>
      </c>
      <c r="N343" s="4">
        <f>Table1_3[[#This Row],[Admission_Date]]</f>
        <v>44435</v>
      </c>
      <c r="O343" s="5">
        <f>Table1_3[[#This Row],[Admission_Date]]</f>
        <v>44435</v>
      </c>
      <c r="P343" s="2">
        <v>45169.56</v>
      </c>
      <c r="Q343" s="2">
        <f t="shared" si="5"/>
        <v>9</v>
      </c>
      <c r="R343" s="2" t="s">
        <v>2525</v>
      </c>
      <c r="S343" s="2">
        <v>29.568142361111111</v>
      </c>
      <c r="T343" s="2" t="s">
        <v>2526</v>
      </c>
      <c r="U343" t="str">
        <f>INDEX(Table2[Doctor_Name],MATCH(Table1_3[[#This Row],[Department]],Table2[Department],0))</f>
        <v>Dr. Vikram Wang</v>
      </c>
    </row>
    <row r="344" spans="1:21" x14ac:dyDescent="0.35">
      <c r="A344" s="2" t="s">
        <v>501</v>
      </c>
      <c r="B344" s="2" t="s">
        <v>502</v>
      </c>
      <c r="C344" s="2">
        <v>73</v>
      </c>
      <c r="D344" s="2" t="s">
        <v>138</v>
      </c>
      <c r="E344" s="2" t="s">
        <v>45</v>
      </c>
      <c r="F344" s="2" t="s">
        <v>141</v>
      </c>
      <c r="G344" s="2" t="s">
        <v>102</v>
      </c>
      <c r="H344" s="2">
        <v>165</v>
      </c>
      <c r="I344" s="2">
        <v>104.2</v>
      </c>
      <c r="J344" s="2" t="s">
        <v>65</v>
      </c>
      <c r="K344" s="2" t="s">
        <v>36</v>
      </c>
      <c r="L344" s="2" t="s">
        <v>2537</v>
      </c>
      <c r="M344" s="3">
        <v>44792</v>
      </c>
      <c r="N344" s="4">
        <f>Table1_3[[#This Row],[Admission_Date]]</f>
        <v>44792</v>
      </c>
      <c r="O344" s="5">
        <f>Table1_3[[#This Row],[Admission_Date]]</f>
        <v>44792</v>
      </c>
      <c r="P344" s="2">
        <v>24631.08</v>
      </c>
      <c r="Q344" s="2">
        <f t="shared" si="5"/>
        <v>30</v>
      </c>
      <c r="R344" s="2" t="s">
        <v>2525</v>
      </c>
      <c r="S344" s="2">
        <v>38.273645546372826</v>
      </c>
      <c r="T344" s="2" t="s">
        <v>2522</v>
      </c>
      <c r="U344" t="str">
        <f>INDEX(Table2[Doctor_Name],MATCH(Table1_3[[#This Row],[Department]],Table2[Department],0))</f>
        <v>Dr. Sunita Zhang</v>
      </c>
    </row>
    <row r="345" spans="1:21" x14ac:dyDescent="0.35">
      <c r="A345" s="2" t="s">
        <v>1489</v>
      </c>
      <c r="B345" s="2" t="s">
        <v>2515</v>
      </c>
      <c r="C345" s="2">
        <v>3</v>
      </c>
      <c r="D345" s="2" t="s">
        <v>29</v>
      </c>
      <c r="E345" s="2" t="s">
        <v>115</v>
      </c>
      <c r="F345" s="2" t="s">
        <v>17</v>
      </c>
      <c r="G345" s="2" t="s">
        <v>18</v>
      </c>
      <c r="H345" s="2">
        <v>158</v>
      </c>
      <c r="I345" s="2">
        <v>50.5</v>
      </c>
      <c r="J345" s="2" t="s">
        <v>65</v>
      </c>
      <c r="K345" s="2" t="s">
        <v>36</v>
      </c>
      <c r="L345" s="2" t="s">
        <v>103</v>
      </c>
      <c r="M345" s="3">
        <v>44239</v>
      </c>
      <c r="N345" s="4">
        <f>Table1_3[[#This Row],[Admission_Date]]</f>
        <v>44239</v>
      </c>
      <c r="O345" s="5">
        <f>Table1_3[[#This Row],[Admission_Date]]</f>
        <v>44239</v>
      </c>
      <c r="P345" s="2">
        <v>14756.53</v>
      </c>
      <c r="Q345" s="2">
        <f t="shared" si="5"/>
        <v>31</v>
      </c>
      <c r="R345" s="2" t="s">
        <v>2521</v>
      </c>
      <c r="S345" s="2">
        <v>20.229129947123855</v>
      </c>
      <c r="T345" s="2" t="s">
        <v>1567</v>
      </c>
      <c r="U345" t="str">
        <f>INDEX(Table2[Doctor_Name],MATCH(Table1_3[[#This Row],[Department]],Table2[Department],0))</f>
        <v>Dr. Suresh Johnson</v>
      </c>
    </row>
    <row r="346" spans="1:21" x14ac:dyDescent="0.35">
      <c r="A346" s="2" t="s">
        <v>92</v>
      </c>
      <c r="B346" s="2" t="s">
        <v>93</v>
      </c>
      <c r="C346" s="2">
        <v>78</v>
      </c>
      <c r="D346" s="2" t="s">
        <v>138</v>
      </c>
      <c r="E346" s="2" t="s">
        <v>89</v>
      </c>
      <c r="F346" s="2" t="s">
        <v>2517</v>
      </c>
      <c r="G346" s="2" t="s">
        <v>208</v>
      </c>
      <c r="H346" s="2">
        <v>166.2</v>
      </c>
      <c r="I346" s="2">
        <v>115</v>
      </c>
      <c r="J346" s="2" t="s">
        <v>65</v>
      </c>
      <c r="K346" s="2" t="s">
        <v>19</v>
      </c>
      <c r="L346" s="2" t="s">
        <v>2537</v>
      </c>
      <c r="M346" s="3">
        <v>44564</v>
      </c>
      <c r="N346" s="4">
        <f>Table1_3[[#This Row],[Admission_Date]]</f>
        <v>44564</v>
      </c>
      <c r="O346" s="5">
        <f>Table1_3[[#This Row],[Admission_Date]]</f>
        <v>44564</v>
      </c>
      <c r="P346" s="2">
        <v>34689.53</v>
      </c>
      <c r="Q346" s="2">
        <f t="shared" si="5"/>
        <v>30</v>
      </c>
      <c r="R346" s="2" t="s">
        <v>2525</v>
      </c>
      <c r="S346" s="2">
        <v>41.632817376017471</v>
      </c>
      <c r="T346" s="2" t="s">
        <v>2522</v>
      </c>
      <c r="U346" t="str">
        <f>INDEX(Table2[Doctor_Name],MATCH(Table1_3[[#This Row],[Department]],Table2[Department],0))</f>
        <v>Dr. Sunita Zhang</v>
      </c>
    </row>
    <row r="347" spans="1:21" x14ac:dyDescent="0.35">
      <c r="A347" s="2" t="s">
        <v>168</v>
      </c>
      <c r="B347" s="2" t="s">
        <v>169</v>
      </c>
      <c r="C347" s="2">
        <v>64</v>
      </c>
      <c r="D347" s="2" t="s">
        <v>29</v>
      </c>
      <c r="E347" s="2" t="s">
        <v>130</v>
      </c>
      <c r="F347" s="2" t="s">
        <v>2518</v>
      </c>
      <c r="G347" s="2" t="s">
        <v>18</v>
      </c>
      <c r="H347" s="2">
        <v>183</v>
      </c>
      <c r="I347" s="2" t="s">
        <v>2519</v>
      </c>
      <c r="J347" s="2" t="s">
        <v>19</v>
      </c>
      <c r="K347" s="2" t="s">
        <v>65</v>
      </c>
      <c r="L347" s="2" t="s">
        <v>143</v>
      </c>
      <c r="M347" s="3">
        <v>44521</v>
      </c>
      <c r="N347" s="4">
        <f>Table1_3[[#This Row],[Admission_Date]]</f>
        <v>44521</v>
      </c>
      <c r="O347" s="5">
        <f>Table1_3[[#This Row],[Admission_Date]]</f>
        <v>44521</v>
      </c>
      <c r="P347" s="2">
        <v>41483.46</v>
      </c>
      <c r="Q347" s="2">
        <f t="shared" si="5"/>
        <v>35</v>
      </c>
      <c r="R347" s="2" t="s">
        <v>2525</v>
      </c>
      <c r="S347" s="2" t="s">
        <v>36</v>
      </c>
      <c r="T347" s="2" t="s">
        <v>36</v>
      </c>
      <c r="U347" t="str">
        <f>INDEX(Table2[Doctor_Name],MATCH(Table1_3[[#This Row],[Department]],Table2[Department],0))</f>
        <v>Dr. Neha Liu</v>
      </c>
    </row>
    <row r="348" spans="1:21" x14ac:dyDescent="0.35">
      <c r="A348" s="2" t="s">
        <v>374</v>
      </c>
      <c r="B348" s="2" t="s">
        <v>375</v>
      </c>
      <c r="C348" s="2">
        <v>29</v>
      </c>
      <c r="D348" s="2" t="s">
        <v>138</v>
      </c>
      <c r="E348" s="2" t="s">
        <v>53</v>
      </c>
      <c r="F348" s="2" t="s">
        <v>17</v>
      </c>
      <c r="G348" s="2" t="s">
        <v>36</v>
      </c>
      <c r="H348" s="2" t="s">
        <v>2519</v>
      </c>
      <c r="I348" s="2">
        <v>117</v>
      </c>
      <c r="J348" s="2" t="s">
        <v>36</v>
      </c>
      <c r="K348" s="2" t="s">
        <v>19</v>
      </c>
      <c r="L348" s="2" t="s">
        <v>86</v>
      </c>
      <c r="M348" s="3">
        <v>45093</v>
      </c>
      <c r="N348" s="4">
        <f>Table1_3[[#This Row],[Admission_Date]]</f>
        <v>45093</v>
      </c>
      <c r="O348" s="5">
        <f>Table1_3[[#This Row],[Admission_Date]]</f>
        <v>45093</v>
      </c>
      <c r="P348" s="2">
        <v>48151.03</v>
      </c>
      <c r="Q348" s="2">
        <f t="shared" si="5"/>
        <v>1</v>
      </c>
      <c r="R348" s="2" t="s">
        <v>2523</v>
      </c>
      <c r="S348" s="2" t="s">
        <v>36</v>
      </c>
      <c r="T348" s="2" t="s">
        <v>36</v>
      </c>
      <c r="U348" t="str">
        <f>INDEX(Table2[Doctor_Name],MATCH(Table1_3[[#This Row],[Department]],Table2[Department],0))</f>
        <v>Dr. Meera Torres</v>
      </c>
    </row>
    <row r="349" spans="1:21" x14ac:dyDescent="0.35">
      <c r="A349" s="2" t="s">
        <v>210</v>
      </c>
      <c r="B349" s="2" t="s">
        <v>211</v>
      </c>
      <c r="C349" s="2" t="s">
        <v>2519</v>
      </c>
      <c r="D349" s="2" t="s">
        <v>29</v>
      </c>
      <c r="E349" s="2" t="s">
        <v>24</v>
      </c>
      <c r="F349" s="2" t="s">
        <v>134</v>
      </c>
      <c r="G349" s="2" t="s">
        <v>35</v>
      </c>
      <c r="H349" s="2">
        <v>157</v>
      </c>
      <c r="I349" s="2">
        <v>108.6</v>
      </c>
      <c r="J349" s="2" t="s">
        <v>36</v>
      </c>
      <c r="K349" s="2" t="s">
        <v>65</v>
      </c>
      <c r="L349" s="2" t="s">
        <v>69</v>
      </c>
      <c r="M349" s="3">
        <v>44941</v>
      </c>
      <c r="N349" s="4">
        <f>Table1_3[[#This Row],[Admission_Date]]</f>
        <v>44941</v>
      </c>
      <c r="O349" s="5">
        <f>Table1_3[[#This Row],[Admission_Date]]</f>
        <v>44941</v>
      </c>
      <c r="P349" s="2">
        <v>41048.46</v>
      </c>
      <c r="Q349" s="2">
        <f t="shared" si="5"/>
        <v>107</v>
      </c>
      <c r="R349" s="2" t="s">
        <v>36</v>
      </c>
      <c r="S349" s="2">
        <v>44.05858249827579</v>
      </c>
      <c r="T349" s="2" t="s">
        <v>2522</v>
      </c>
      <c r="U349" t="str">
        <f>INDEX(Table2[Doctor_Name],MATCH(Table1_3[[#This Row],[Department]],Table2[Department],0))</f>
        <v>Dr. Vikram Wang</v>
      </c>
    </row>
    <row r="350" spans="1:21" x14ac:dyDescent="0.35">
      <c r="A350" s="2" t="s">
        <v>326</v>
      </c>
      <c r="B350" s="2" t="s">
        <v>2419</v>
      </c>
      <c r="C350" s="2">
        <v>44</v>
      </c>
      <c r="D350" s="2" t="s">
        <v>29</v>
      </c>
      <c r="E350" s="2" t="s">
        <v>78</v>
      </c>
      <c r="F350" s="2" t="s">
        <v>120</v>
      </c>
      <c r="G350" s="2" t="s">
        <v>80</v>
      </c>
      <c r="H350" s="2">
        <v>149</v>
      </c>
      <c r="I350" s="2">
        <v>100</v>
      </c>
      <c r="J350" s="2" t="s">
        <v>19</v>
      </c>
      <c r="K350" s="2" t="s">
        <v>19</v>
      </c>
      <c r="L350" s="2" t="s">
        <v>42</v>
      </c>
      <c r="M350" s="3">
        <v>44664</v>
      </c>
      <c r="N350" s="4">
        <f>Table1_3[[#This Row],[Admission_Date]]</f>
        <v>44664</v>
      </c>
      <c r="O350" s="5">
        <f>Table1_3[[#This Row],[Admission_Date]]</f>
        <v>44664</v>
      </c>
      <c r="P350" s="2">
        <v>40187.550000000003</v>
      </c>
      <c r="Q350" s="2">
        <f t="shared" si="5"/>
        <v>45</v>
      </c>
      <c r="R350" s="2" t="s">
        <v>2523</v>
      </c>
      <c r="S350" s="2">
        <v>45.043016080356743</v>
      </c>
      <c r="T350" s="2" t="s">
        <v>2522</v>
      </c>
      <c r="U350" t="str">
        <f>INDEX(Table2[Doctor_Name],MATCH(Table1_3[[#This Row],[Department]],Table2[Department],0))</f>
        <v>Dr. Rahul Nair</v>
      </c>
    </row>
    <row r="351" spans="1:21" x14ac:dyDescent="0.35">
      <c r="A351" s="2" t="s">
        <v>76</v>
      </c>
      <c r="B351" s="2" t="s">
        <v>77</v>
      </c>
      <c r="C351" s="2">
        <v>2</v>
      </c>
      <c r="D351" s="2" t="s">
        <v>138</v>
      </c>
      <c r="E351" s="2" t="s">
        <v>78</v>
      </c>
      <c r="F351" s="2" t="s">
        <v>79</v>
      </c>
      <c r="G351" s="2" t="s">
        <v>80</v>
      </c>
      <c r="H351" s="2">
        <v>189</v>
      </c>
      <c r="I351" s="2">
        <v>75</v>
      </c>
      <c r="J351" s="2" t="s">
        <v>36</v>
      </c>
      <c r="K351" s="2" t="s">
        <v>36</v>
      </c>
      <c r="L351" s="2" t="s">
        <v>69</v>
      </c>
      <c r="M351" s="3">
        <v>44315</v>
      </c>
      <c r="N351" s="4">
        <f>Table1_3[[#This Row],[Admission_Date]]</f>
        <v>44315</v>
      </c>
      <c r="O351" s="5">
        <f>Table1_3[[#This Row],[Admission_Date]]</f>
        <v>44315</v>
      </c>
      <c r="P351" s="2">
        <v>49012.33</v>
      </c>
      <c r="Q351" s="2">
        <f t="shared" si="5"/>
        <v>1</v>
      </c>
      <c r="R351" s="2" t="s">
        <v>2521</v>
      </c>
      <c r="S351" s="2">
        <v>20.99605274208449</v>
      </c>
      <c r="T351" s="2" t="s">
        <v>1567</v>
      </c>
      <c r="U351" t="str">
        <f>INDEX(Table2[Doctor_Name],MATCH(Table1_3[[#This Row],[Department]],Table2[Department],0))</f>
        <v>Dr. Vikram Wang</v>
      </c>
    </row>
    <row r="352" spans="1:21" x14ac:dyDescent="0.35">
      <c r="A352" s="2" t="s">
        <v>1009</v>
      </c>
      <c r="B352" s="2" t="s">
        <v>1010</v>
      </c>
      <c r="C352" s="2">
        <v>39</v>
      </c>
      <c r="D352" s="2" t="s">
        <v>138</v>
      </c>
      <c r="E352" s="2" t="s">
        <v>111</v>
      </c>
      <c r="F352" s="2" t="s">
        <v>17</v>
      </c>
      <c r="G352" s="2" t="s">
        <v>102</v>
      </c>
      <c r="H352" s="2">
        <v>187.5</v>
      </c>
      <c r="I352" s="2">
        <v>88</v>
      </c>
      <c r="J352" s="2" t="s">
        <v>36</v>
      </c>
      <c r="K352" s="2" t="s">
        <v>19</v>
      </c>
      <c r="L352" s="2" t="s">
        <v>31</v>
      </c>
      <c r="M352" s="3">
        <v>44617</v>
      </c>
      <c r="N352" s="4">
        <f>Table1_3[[#This Row],[Admission_Date]]</f>
        <v>44617</v>
      </c>
      <c r="O352" s="5">
        <f>Table1_3[[#This Row],[Admission_Date]]</f>
        <v>44617</v>
      </c>
      <c r="P352" s="2">
        <v>31405.8</v>
      </c>
      <c r="Q352" s="2">
        <f t="shared" si="5"/>
        <v>37</v>
      </c>
      <c r="R352" s="2" t="s">
        <v>2523</v>
      </c>
      <c r="S352" s="2">
        <v>25.031111111111112</v>
      </c>
      <c r="T352" s="2" t="s">
        <v>2526</v>
      </c>
      <c r="U352" t="str">
        <f>INDEX(Table2[Doctor_Name],MATCH(Table1_3[[#This Row],[Department]],Table2[Department],0))</f>
        <v>Dr. Arvind Chen</v>
      </c>
    </row>
    <row r="353" spans="1:21" x14ac:dyDescent="0.35">
      <c r="A353" s="2" t="s">
        <v>1341</v>
      </c>
      <c r="B353" s="2" t="s">
        <v>1342</v>
      </c>
      <c r="C353" s="2">
        <v>11</v>
      </c>
      <c r="D353" s="2" t="s">
        <v>29</v>
      </c>
      <c r="E353" s="2" t="s">
        <v>84</v>
      </c>
      <c r="F353" s="2" t="s">
        <v>17</v>
      </c>
      <c r="G353" s="2" t="s">
        <v>102</v>
      </c>
      <c r="H353" s="2">
        <v>192.8</v>
      </c>
      <c r="I353" s="2">
        <v>89</v>
      </c>
      <c r="J353" s="2" t="s">
        <v>65</v>
      </c>
      <c r="K353" s="2" t="s">
        <v>19</v>
      </c>
      <c r="L353" s="2" t="s">
        <v>175</v>
      </c>
      <c r="M353" s="3">
        <v>44602</v>
      </c>
      <c r="N353" s="4">
        <f>Table1_3[[#This Row],[Admission_Date]]</f>
        <v>44602</v>
      </c>
      <c r="O353" s="5">
        <f>Table1_3[[#This Row],[Admission_Date]]</f>
        <v>44602</v>
      </c>
      <c r="P353" s="2">
        <v>17365.09</v>
      </c>
      <c r="Q353" s="2">
        <f t="shared" si="5"/>
        <v>38</v>
      </c>
      <c r="R353" s="2" t="s">
        <v>2521</v>
      </c>
      <c r="S353" s="2">
        <v>23.94285566708562</v>
      </c>
      <c r="T353" s="2" t="s">
        <v>1567</v>
      </c>
      <c r="U353" t="str">
        <f>INDEX(Table2[Doctor_Name],MATCH(Table1_3[[#This Row],[Department]],Table2[Department],0))</f>
        <v>Dr. Arvind Wilson</v>
      </c>
    </row>
    <row r="354" spans="1:21" x14ac:dyDescent="0.35">
      <c r="A354" s="2" t="s">
        <v>1423</v>
      </c>
      <c r="B354" s="2" t="s">
        <v>1424</v>
      </c>
      <c r="C354" s="2">
        <v>39</v>
      </c>
      <c r="D354" s="2" t="s">
        <v>138</v>
      </c>
      <c r="E354" s="2" t="s">
        <v>217</v>
      </c>
      <c r="F354" s="2" t="s">
        <v>134</v>
      </c>
      <c r="G354" s="2" t="s">
        <v>295</v>
      </c>
      <c r="H354" s="2">
        <v>162.1</v>
      </c>
      <c r="I354" s="2">
        <v>86</v>
      </c>
      <c r="J354" s="2" t="s">
        <v>19</v>
      </c>
      <c r="K354" s="2" t="s">
        <v>36</v>
      </c>
      <c r="L354" s="2" t="s">
        <v>69</v>
      </c>
      <c r="M354" s="3">
        <v>45176</v>
      </c>
      <c r="N354" s="4">
        <f>Table1_3[[#This Row],[Admission_Date]]</f>
        <v>45176</v>
      </c>
      <c r="O354" s="5">
        <f>Table1_3[[#This Row],[Admission_Date]]</f>
        <v>45176</v>
      </c>
      <c r="P354" s="2">
        <v>0</v>
      </c>
      <c r="Q354" s="2">
        <f t="shared" si="5"/>
        <v>107</v>
      </c>
      <c r="R354" s="2" t="s">
        <v>2523</v>
      </c>
      <c r="S354" s="2">
        <v>32.728976294706925</v>
      </c>
      <c r="T354" s="2" t="s">
        <v>2522</v>
      </c>
      <c r="U354" t="str">
        <f>INDEX(Table2[Doctor_Name],MATCH(Table1_3[[#This Row],[Department]],Table2[Department],0))</f>
        <v>Dr. Vikram Wang</v>
      </c>
    </row>
    <row r="355" spans="1:21" x14ac:dyDescent="0.35">
      <c r="A355" s="2" t="s">
        <v>982</v>
      </c>
      <c r="B355" s="2" t="s">
        <v>983</v>
      </c>
      <c r="C355" s="2">
        <v>81</v>
      </c>
      <c r="D355" s="2" t="s">
        <v>29</v>
      </c>
      <c r="E355" s="2" t="s">
        <v>84</v>
      </c>
      <c r="F355" s="2" t="s">
        <v>2517</v>
      </c>
      <c r="G355" s="2" t="s">
        <v>102</v>
      </c>
      <c r="H355" s="2">
        <v>174</v>
      </c>
      <c r="I355" s="2">
        <v>87</v>
      </c>
      <c r="J355" s="2" t="s">
        <v>65</v>
      </c>
      <c r="K355" s="2" t="s">
        <v>65</v>
      </c>
      <c r="L355" s="2" t="s">
        <v>175</v>
      </c>
      <c r="M355" s="3">
        <v>44591</v>
      </c>
      <c r="N355" s="4">
        <f>Table1_3[[#This Row],[Admission_Date]]</f>
        <v>44591</v>
      </c>
      <c r="O355" s="5">
        <f>Table1_3[[#This Row],[Admission_Date]]</f>
        <v>44591</v>
      </c>
      <c r="P355" s="2">
        <v>22988.32</v>
      </c>
      <c r="Q355" s="2">
        <f t="shared" si="5"/>
        <v>38</v>
      </c>
      <c r="R355" s="2" t="s">
        <v>2525</v>
      </c>
      <c r="S355" s="2">
        <v>28.735632183908045</v>
      </c>
      <c r="T355" s="2" t="s">
        <v>2526</v>
      </c>
      <c r="U355" t="str">
        <f>INDEX(Table2[Doctor_Name],MATCH(Table1_3[[#This Row],[Department]],Table2[Department],0))</f>
        <v>Dr. Arvind Wilson</v>
      </c>
    </row>
    <row r="356" spans="1:21" x14ac:dyDescent="0.35">
      <c r="A356" s="2" t="s">
        <v>1231</v>
      </c>
      <c r="B356" s="2" t="s">
        <v>1232</v>
      </c>
      <c r="C356" s="2">
        <v>28</v>
      </c>
      <c r="D356" s="2" t="s">
        <v>138</v>
      </c>
      <c r="E356" s="2" t="s">
        <v>45</v>
      </c>
      <c r="F356" s="2" t="s">
        <v>17</v>
      </c>
      <c r="G356" s="2" t="s">
        <v>191</v>
      </c>
      <c r="H356" s="2">
        <v>161</v>
      </c>
      <c r="I356" s="2">
        <v>92.6</v>
      </c>
      <c r="J356" s="2" t="s">
        <v>65</v>
      </c>
      <c r="K356" s="2" t="s">
        <v>36</v>
      </c>
      <c r="L356" s="2" t="s">
        <v>86</v>
      </c>
      <c r="M356" s="3">
        <v>45199</v>
      </c>
      <c r="N356" s="4">
        <f>Table1_3[[#This Row],[Admission_Date]]</f>
        <v>45199</v>
      </c>
      <c r="O356" s="5">
        <f>Table1_3[[#This Row],[Admission_Date]]</f>
        <v>45199</v>
      </c>
      <c r="P356" s="2">
        <v>48676.99</v>
      </c>
      <c r="Q356" s="2">
        <f t="shared" si="5"/>
        <v>1</v>
      </c>
      <c r="R356" s="2" t="s">
        <v>2523</v>
      </c>
      <c r="S356" s="2">
        <v>35.723930403919596</v>
      </c>
      <c r="T356" s="2" t="s">
        <v>2522</v>
      </c>
      <c r="U356" t="str">
        <f>INDEX(Table2[Doctor_Name],MATCH(Table1_3[[#This Row],[Department]],Table2[Department],0))</f>
        <v>Dr. Meera Torres</v>
      </c>
    </row>
    <row r="357" spans="1:21" x14ac:dyDescent="0.35">
      <c r="A357" s="2" t="s">
        <v>213</v>
      </c>
      <c r="B357" s="2" t="s">
        <v>2415</v>
      </c>
      <c r="C357" s="2">
        <v>68</v>
      </c>
      <c r="D357" s="2" t="s">
        <v>138</v>
      </c>
      <c r="E357" s="2" t="s">
        <v>89</v>
      </c>
      <c r="F357" s="2" t="s">
        <v>2518</v>
      </c>
      <c r="G357" s="2" t="s">
        <v>60</v>
      </c>
      <c r="H357" s="2">
        <v>154.19999999999999</v>
      </c>
      <c r="I357" s="2">
        <v>50.7</v>
      </c>
      <c r="J357" s="2" t="s">
        <v>65</v>
      </c>
      <c r="K357" s="2" t="s">
        <v>65</v>
      </c>
      <c r="L357" s="2" t="s">
        <v>107</v>
      </c>
      <c r="M357" s="3">
        <v>44790</v>
      </c>
      <c r="N357" s="4">
        <f>Table1_3[[#This Row],[Admission_Date]]</f>
        <v>44790</v>
      </c>
      <c r="O357" s="5">
        <f>Table1_3[[#This Row],[Admission_Date]]</f>
        <v>44790</v>
      </c>
      <c r="P357" s="2">
        <v>26377.49</v>
      </c>
      <c r="Q357" s="2">
        <f t="shared" si="5"/>
        <v>83</v>
      </c>
      <c r="R357" s="2" t="s">
        <v>2525</v>
      </c>
      <c r="S357" s="2">
        <v>21.322553457786395</v>
      </c>
      <c r="T357" s="2" t="s">
        <v>1567</v>
      </c>
      <c r="U357" t="str">
        <f>INDEX(Table2[Doctor_Name],MATCH(Table1_3[[#This Row],[Department]],Table2[Department],0))</f>
        <v>Dr. Anita Sanchez</v>
      </c>
    </row>
    <row r="358" spans="1:21" x14ac:dyDescent="0.35">
      <c r="A358" s="2" t="s">
        <v>746</v>
      </c>
      <c r="B358" s="2" t="s">
        <v>2449</v>
      </c>
      <c r="C358" s="2">
        <v>76</v>
      </c>
      <c r="D358" s="2" t="s">
        <v>29</v>
      </c>
      <c r="E358" s="2" t="s">
        <v>146</v>
      </c>
      <c r="F358" s="2" t="s">
        <v>79</v>
      </c>
      <c r="G358" s="2" t="s">
        <v>280</v>
      </c>
      <c r="H358" s="2">
        <v>158</v>
      </c>
      <c r="I358" s="2" t="s">
        <v>2519</v>
      </c>
      <c r="J358" s="2" t="s">
        <v>19</v>
      </c>
      <c r="K358" s="2" t="s">
        <v>65</v>
      </c>
      <c r="L358" s="2" t="s">
        <v>69</v>
      </c>
      <c r="M358" s="3">
        <v>44231</v>
      </c>
      <c r="N358" s="4">
        <f>Table1_3[[#This Row],[Admission_Date]]</f>
        <v>44231</v>
      </c>
      <c r="O358" s="5">
        <f>Table1_3[[#This Row],[Admission_Date]]</f>
        <v>44231</v>
      </c>
      <c r="P358" s="2">
        <v>24318.23</v>
      </c>
      <c r="Q358" s="2">
        <f t="shared" si="5"/>
        <v>107</v>
      </c>
      <c r="R358" s="2" t="s">
        <v>2525</v>
      </c>
      <c r="S358" s="2" t="s">
        <v>36</v>
      </c>
      <c r="T358" s="2" t="s">
        <v>36</v>
      </c>
      <c r="U358" t="str">
        <f>INDEX(Table2[Doctor_Name],MATCH(Table1_3[[#This Row],[Department]],Table2[Department],0))</f>
        <v>Dr. Vikram Wang</v>
      </c>
    </row>
    <row r="359" spans="1:21" x14ac:dyDescent="0.35">
      <c r="A359" s="2" t="s">
        <v>371</v>
      </c>
      <c r="B359" s="2" t="s">
        <v>372</v>
      </c>
      <c r="C359" s="2">
        <v>17</v>
      </c>
      <c r="D359" s="2" t="s">
        <v>29</v>
      </c>
      <c r="E359" s="2" t="s">
        <v>89</v>
      </c>
      <c r="F359" s="2" t="s">
        <v>2517</v>
      </c>
      <c r="G359" s="2" t="s">
        <v>36</v>
      </c>
      <c r="H359" s="2">
        <v>159</v>
      </c>
      <c r="I359" s="2">
        <v>96.2</v>
      </c>
      <c r="J359" s="2" t="s">
        <v>65</v>
      </c>
      <c r="K359" s="2" t="s">
        <v>65</v>
      </c>
      <c r="L359" s="2" t="s">
        <v>86</v>
      </c>
      <c r="M359" s="3">
        <v>45006</v>
      </c>
      <c r="N359" s="4">
        <f>Table1_3[[#This Row],[Admission_Date]]</f>
        <v>45006</v>
      </c>
      <c r="O359" s="5">
        <f>Table1_3[[#This Row],[Admission_Date]]</f>
        <v>45006</v>
      </c>
      <c r="P359" s="2">
        <v>27279.23</v>
      </c>
      <c r="Q359" s="2">
        <f t="shared" si="5"/>
        <v>35</v>
      </c>
      <c r="R359" s="2" t="s">
        <v>2521</v>
      </c>
      <c r="S359" s="2">
        <v>38.052292235275502</v>
      </c>
      <c r="T359" s="2" t="s">
        <v>2522</v>
      </c>
      <c r="U359" t="str">
        <f>INDEX(Table2[Doctor_Name],MATCH(Table1_3[[#This Row],[Department]],Table2[Department],0))</f>
        <v>Dr. Meera Torres</v>
      </c>
    </row>
    <row r="360" spans="1:21" x14ac:dyDescent="0.35">
      <c r="A360" s="2" t="s">
        <v>1034</v>
      </c>
      <c r="B360" s="2" t="s">
        <v>1035</v>
      </c>
      <c r="C360" s="2">
        <v>74</v>
      </c>
      <c r="D360" s="2" t="s">
        <v>29</v>
      </c>
      <c r="E360" s="2" t="s">
        <v>130</v>
      </c>
      <c r="F360" s="2" t="s">
        <v>79</v>
      </c>
      <c r="G360" s="2" t="s">
        <v>18</v>
      </c>
      <c r="H360" s="2">
        <v>185</v>
      </c>
      <c r="I360" s="2">
        <v>96</v>
      </c>
      <c r="J360" s="2" t="s">
        <v>36</v>
      </c>
      <c r="K360" s="2" t="s">
        <v>19</v>
      </c>
      <c r="L360" s="2" t="s">
        <v>226</v>
      </c>
      <c r="M360" s="3">
        <v>44966</v>
      </c>
      <c r="N360" s="4">
        <f>Table1_3[[#This Row],[Admission_Date]]</f>
        <v>44966</v>
      </c>
      <c r="O360" s="5">
        <f>Table1_3[[#This Row],[Admission_Date]]</f>
        <v>44966</v>
      </c>
      <c r="P360" s="2">
        <v>44894.78</v>
      </c>
      <c r="Q360" s="2">
        <f t="shared" si="5"/>
        <v>11</v>
      </c>
      <c r="R360" s="2" t="s">
        <v>2525</v>
      </c>
      <c r="S360" s="2">
        <v>28.049671292914532</v>
      </c>
      <c r="T360" s="2" t="s">
        <v>2526</v>
      </c>
      <c r="U360" t="str">
        <f>INDEX(Table2[Doctor_Name],MATCH(Table1_3[[#This Row],[Department]],Table2[Department],0))</f>
        <v>Dr. Vikram Khan</v>
      </c>
    </row>
    <row r="361" spans="1:21" x14ac:dyDescent="0.35">
      <c r="A361" s="2" t="s">
        <v>668</v>
      </c>
      <c r="B361" s="2" t="s">
        <v>669</v>
      </c>
      <c r="C361" s="2">
        <v>91</v>
      </c>
      <c r="D361" s="2" t="s">
        <v>138</v>
      </c>
      <c r="E361" s="2" t="s">
        <v>115</v>
      </c>
      <c r="F361" s="2" t="s">
        <v>2517</v>
      </c>
      <c r="G361" s="2" t="s">
        <v>80</v>
      </c>
      <c r="H361" s="2">
        <v>174</v>
      </c>
      <c r="I361" s="2">
        <v>84</v>
      </c>
      <c r="J361" s="2" t="s">
        <v>65</v>
      </c>
      <c r="K361" s="2" t="s">
        <v>19</v>
      </c>
      <c r="L361" s="2" t="s">
        <v>69</v>
      </c>
      <c r="M361" s="3">
        <v>45046</v>
      </c>
      <c r="N361" s="4">
        <f>Table1_3[[#This Row],[Admission_Date]]</f>
        <v>45046</v>
      </c>
      <c r="O361" s="5">
        <f>Table1_3[[#This Row],[Admission_Date]]</f>
        <v>45046</v>
      </c>
      <c r="P361" s="2">
        <v>43052.6</v>
      </c>
      <c r="Q361" s="2">
        <f t="shared" si="5"/>
        <v>107</v>
      </c>
      <c r="R361" s="2" t="s">
        <v>2525</v>
      </c>
      <c r="S361" s="2">
        <v>27.744748315497421</v>
      </c>
      <c r="T361" s="2" t="s">
        <v>2526</v>
      </c>
      <c r="U361" t="str">
        <f>INDEX(Table2[Doctor_Name],MATCH(Table1_3[[#This Row],[Department]],Table2[Department],0))</f>
        <v>Dr. Vikram Wang</v>
      </c>
    </row>
    <row r="362" spans="1:21" x14ac:dyDescent="0.35">
      <c r="A362" s="2" t="s">
        <v>1268</v>
      </c>
      <c r="B362" s="2" t="s">
        <v>2493</v>
      </c>
      <c r="C362" s="2">
        <v>33</v>
      </c>
      <c r="D362" s="2" t="s">
        <v>29</v>
      </c>
      <c r="E362" s="2" t="s">
        <v>45</v>
      </c>
      <c r="F362" s="2" t="s">
        <v>17</v>
      </c>
      <c r="G362" s="2" t="s">
        <v>280</v>
      </c>
      <c r="H362" s="2">
        <v>150.80000000000001</v>
      </c>
      <c r="I362" s="2">
        <v>69</v>
      </c>
      <c r="J362" s="2" t="s">
        <v>36</v>
      </c>
      <c r="K362" s="2" t="s">
        <v>19</v>
      </c>
      <c r="L362" s="2" t="s">
        <v>107</v>
      </c>
      <c r="M362" s="3">
        <v>45202</v>
      </c>
      <c r="N362" s="4">
        <f>Table1_3[[#This Row],[Admission_Date]]</f>
        <v>45202</v>
      </c>
      <c r="O362" s="5">
        <f>Table1_3[[#This Row],[Admission_Date]]</f>
        <v>45202</v>
      </c>
      <c r="P362" s="2">
        <v>16342.05</v>
      </c>
      <c r="Q362" s="2">
        <f t="shared" si="5"/>
        <v>83</v>
      </c>
      <c r="R362" s="2" t="s">
        <v>2523</v>
      </c>
      <c r="S362" s="2">
        <v>30.342153958727632</v>
      </c>
      <c r="T362" s="2" t="s">
        <v>2522</v>
      </c>
      <c r="U362" t="str">
        <f>INDEX(Table2[Doctor_Name],MATCH(Table1_3[[#This Row],[Department]],Table2[Department],0))</f>
        <v>Dr. Anita Sanchez</v>
      </c>
    </row>
    <row r="363" spans="1:21" x14ac:dyDescent="0.35">
      <c r="A363" s="2" t="s">
        <v>1178</v>
      </c>
      <c r="B363" s="2" t="s">
        <v>2488</v>
      </c>
      <c r="C363" s="2">
        <v>76</v>
      </c>
      <c r="D363" s="2" t="s">
        <v>138</v>
      </c>
      <c r="E363" s="2" t="s">
        <v>16</v>
      </c>
      <c r="F363" s="2" t="s">
        <v>2518</v>
      </c>
      <c r="G363" s="2" t="s">
        <v>198</v>
      </c>
      <c r="H363" s="2">
        <v>163.5</v>
      </c>
      <c r="I363" s="2" t="s">
        <v>2519</v>
      </c>
      <c r="J363" s="2" t="s">
        <v>65</v>
      </c>
      <c r="K363" s="2" t="s">
        <v>36</v>
      </c>
      <c r="L363" s="2" t="s">
        <v>226</v>
      </c>
      <c r="M363" s="3">
        <v>44410</v>
      </c>
      <c r="N363" s="4">
        <f>Table1_3[[#This Row],[Admission_Date]]</f>
        <v>44410</v>
      </c>
      <c r="O363" s="5">
        <f>Table1_3[[#This Row],[Admission_Date]]</f>
        <v>44410</v>
      </c>
      <c r="P363" s="2">
        <v>27926.73</v>
      </c>
      <c r="Q363" s="2">
        <f t="shared" si="5"/>
        <v>35</v>
      </c>
      <c r="R363" s="2" t="s">
        <v>2525</v>
      </c>
      <c r="S363" s="2" t="s">
        <v>36</v>
      </c>
      <c r="T363" s="2" t="s">
        <v>36</v>
      </c>
      <c r="U363" t="str">
        <f>INDEX(Table2[Doctor_Name],MATCH(Table1_3[[#This Row],[Department]],Table2[Department],0))</f>
        <v>Dr. Vikram Khan</v>
      </c>
    </row>
    <row r="364" spans="1:21" x14ac:dyDescent="0.35">
      <c r="A364" s="2" t="s">
        <v>1428</v>
      </c>
      <c r="B364" s="2" t="s">
        <v>1429</v>
      </c>
      <c r="C364" s="2">
        <v>11</v>
      </c>
      <c r="D364" s="2" t="s">
        <v>138</v>
      </c>
      <c r="E364" s="2" t="s">
        <v>24</v>
      </c>
      <c r="F364" s="2" t="s">
        <v>2518</v>
      </c>
      <c r="G364" s="2" t="s">
        <v>36</v>
      </c>
      <c r="H364" s="2">
        <v>165</v>
      </c>
      <c r="I364" s="2">
        <v>88.4</v>
      </c>
      <c r="J364" s="2" t="s">
        <v>19</v>
      </c>
      <c r="K364" s="2" t="s">
        <v>65</v>
      </c>
      <c r="L364" s="2" t="s">
        <v>69</v>
      </c>
      <c r="M364" s="3">
        <v>44256</v>
      </c>
      <c r="N364" s="4">
        <f>Table1_3[[#This Row],[Admission_Date]]</f>
        <v>44256</v>
      </c>
      <c r="O364" s="5">
        <f>Table1_3[[#This Row],[Admission_Date]]</f>
        <v>44256</v>
      </c>
      <c r="P364" s="2">
        <v>48075.16</v>
      </c>
      <c r="Q364" s="2">
        <f t="shared" si="5"/>
        <v>1</v>
      </c>
      <c r="R364" s="2" t="s">
        <v>2521</v>
      </c>
      <c r="S364" s="2">
        <v>32.470156106519745</v>
      </c>
      <c r="T364" s="2" t="s">
        <v>2522</v>
      </c>
      <c r="U364" t="str">
        <f>INDEX(Table2[Doctor_Name],MATCH(Table1_3[[#This Row],[Department]],Table2[Department],0))</f>
        <v>Dr. Vikram Wang</v>
      </c>
    </row>
    <row r="365" spans="1:21" x14ac:dyDescent="0.35">
      <c r="A365" s="2" t="s">
        <v>771</v>
      </c>
      <c r="B365" s="2" t="s">
        <v>772</v>
      </c>
      <c r="C365" s="2">
        <v>88</v>
      </c>
      <c r="D365" s="2" t="s">
        <v>29</v>
      </c>
      <c r="E365" s="2" t="s">
        <v>146</v>
      </c>
      <c r="F365" s="2" t="s">
        <v>2518</v>
      </c>
      <c r="G365" s="2" t="s">
        <v>74</v>
      </c>
      <c r="H365" s="2">
        <v>182</v>
      </c>
      <c r="I365" s="2">
        <v>90.7</v>
      </c>
      <c r="J365" s="2" t="s">
        <v>65</v>
      </c>
      <c r="K365" s="2" t="s">
        <v>19</v>
      </c>
      <c r="L365" s="2" t="s">
        <v>55</v>
      </c>
      <c r="M365" s="3">
        <v>44448</v>
      </c>
      <c r="N365" s="4">
        <f>Table1_3[[#This Row],[Admission_Date]]</f>
        <v>44448</v>
      </c>
      <c r="O365" s="5">
        <f>Table1_3[[#This Row],[Admission_Date]]</f>
        <v>44448</v>
      </c>
      <c r="P365" s="2">
        <v>36391.15</v>
      </c>
      <c r="Q365" s="2">
        <f t="shared" si="5"/>
        <v>42</v>
      </c>
      <c r="R365" s="2" t="s">
        <v>2525</v>
      </c>
      <c r="S365" s="2">
        <v>27.38195870064002</v>
      </c>
      <c r="T365" s="2" t="s">
        <v>2526</v>
      </c>
      <c r="U365" t="str">
        <f>INDEX(Table2[Doctor_Name],MATCH(Table1_3[[#This Row],[Department]],Table2[Department],0))</f>
        <v>Dr. Sunita Sanchez</v>
      </c>
    </row>
    <row r="366" spans="1:21" x14ac:dyDescent="0.35">
      <c r="A366" s="2" t="s">
        <v>1310</v>
      </c>
      <c r="B366" s="2" t="s">
        <v>1311</v>
      </c>
      <c r="C366" s="2">
        <v>82</v>
      </c>
      <c r="D366" s="2" t="s">
        <v>29</v>
      </c>
      <c r="E366" s="2" t="s">
        <v>130</v>
      </c>
      <c r="F366" s="2" t="s">
        <v>2517</v>
      </c>
      <c r="G366" s="2" t="s">
        <v>417</v>
      </c>
      <c r="H366" s="2">
        <v>193</v>
      </c>
      <c r="I366" s="2">
        <v>126.3</v>
      </c>
      <c r="J366" s="2" t="s">
        <v>19</v>
      </c>
      <c r="K366" s="2" t="s">
        <v>36</v>
      </c>
      <c r="L366" s="2" t="s">
        <v>69</v>
      </c>
      <c r="M366" s="3">
        <v>44317</v>
      </c>
      <c r="N366" s="4">
        <f>Table1_3[[#This Row],[Admission_Date]]</f>
        <v>44317</v>
      </c>
      <c r="O366" s="5">
        <f>Table1_3[[#This Row],[Admission_Date]]</f>
        <v>44317</v>
      </c>
      <c r="P366" s="2">
        <v>24088.18</v>
      </c>
      <c r="Q366" s="2">
        <f t="shared" si="5"/>
        <v>107</v>
      </c>
      <c r="R366" s="2" t="s">
        <v>2525</v>
      </c>
      <c r="S366" s="2">
        <v>33.906950522161672</v>
      </c>
      <c r="T366" s="2" t="s">
        <v>2522</v>
      </c>
      <c r="U366" t="str">
        <f>INDEX(Table2[Doctor_Name],MATCH(Table1_3[[#This Row],[Department]],Table2[Department],0))</f>
        <v>Dr. Vikram Wang</v>
      </c>
    </row>
    <row r="367" spans="1:21" x14ac:dyDescent="0.35">
      <c r="A367" s="2" t="s">
        <v>828</v>
      </c>
      <c r="B367" s="2" t="s">
        <v>485</v>
      </c>
      <c r="C367" s="2">
        <v>84</v>
      </c>
      <c r="D367" s="2" t="s">
        <v>29</v>
      </c>
      <c r="E367" s="2" t="s">
        <v>45</v>
      </c>
      <c r="F367" s="2" t="s">
        <v>273</v>
      </c>
      <c r="G367" s="2" t="s">
        <v>36</v>
      </c>
      <c r="H367" s="2">
        <v>168.7</v>
      </c>
      <c r="I367" s="2">
        <v>113.2</v>
      </c>
      <c r="J367" s="2" t="s">
        <v>65</v>
      </c>
      <c r="K367" s="2" t="s">
        <v>19</v>
      </c>
      <c r="L367" s="2" t="s">
        <v>199</v>
      </c>
      <c r="M367" s="3">
        <v>44214</v>
      </c>
      <c r="N367" s="4">
        <f>Table1_3[[#This Row],[Admission_Date]]</f>
        <v>44214</v>
      </c>
      <c r="O367" s="5">
        <f>Table1_3[[#This Row],[Admission_Date]]</f>
        <v>44214</v>
      </c>
      <c r="P367" s="2">
        <v>23403.279999999999</v>
      </c>
      <c r="Q367" s="2">
        <f t="shared" si="5"/>
        <v>34</v>
      </c>
      <c r="R367" s="2" t="s">
        <v>2525</v>
      </c>
      <c r="S367" s="2">
        <v>39.775556234098133</v>
      </c>
      <c r="T367" s="2" t="s">
        <v>2522</v>
      </c>
      <c r="U367" t="str">
        <f>INDEX(Table2[Doctor_Name],MATCH(Table1_3[[#This Row],[Department]],Table2[Department],0))</f>
        <v>Dr. Vikram Torres</v>
      </c>
    </row>
    <row r="368" spans="1:21" x14ac:dyDescent="0.35">
      <c r="A368" s="2" t="s">
        <v>980</v>
      </c>
      <c r="B368" s="2" t="s">
        <v>669</v>
      </c>
      <c r="C368" s="2">
        <v>25</v>
      </c>
      <c r="D368" s="2" t="s">
        <v>138</v>
      </c>
      <c r="E368" s="2" t="s">
        <v>119</v>
      </c>
      <c r="F368" s="2" t="s">
        <v>79</v>
      </c>
      <c r="G368" s="2" t="s">
        <v>36</v>
      </c>
      <c r="H368" s="2">
        <v>194.1</v>
      </c>
      <c r="I368" s="2">
        <v>43.3</v>
      </c>
      <c r="J368" s="2" t="s">
        <v>36</v>
      </c>
      <c r="K368" s="2" t="s">
        <v>36</v>
      </c>
      <c r="L368" s="2" t="s">
        <v>2537</v>
      </c>
      <c r="M368" s="3">
        <v>44684</v>
      </c>
      <c r="N368" s="4">
        <f>Table1_3[[#This Row],[Admission_Date]]</f>
        <v>44684</v>
      </c>
      <c r="O368" s="5">
        <f>Table1_3[[#This Row],[Admission_Date]]</f>
        <v>44684</v>
      </c>
      <c r="P368" s="2">
        <v>10206.299999999999</v>
      </c>
      <c r="Q368" s="2">
        <f t="shared" si="5"/>
        <v>30</v>
      </c>
      <c r="R368" s="2" t="s">
        <v>2527</v>
      </c>
      <c r="S368" s="2">
        <v>11.493090476103266</v>
      </c>
      <c r="T368" s="2" t="s">
        <v>2524</v>
      </c>
      <c r="U368" t="str">
        <f>INDEX(Table2[Doctor_Name],MATCH(Table1_3[[#This Row],[Department]],Table2[Department],0))</f>
        <v>Dr. Sunita Zhang</v>
      </c>
    </row>
    <row r="369" spans="1:21" x14ac:dyDescent="0.35">
      <c r="A369" s="2" t="s">
        <v>288</v>
      </c>
      <c r="B369" s="2" t="s">
        <v>289</v>
      </c>
      <c r="C369" s="2">
        <v>85</v>
      </c>
      <c r="D369" s="2" t="s">
        <v>138</v>
      </c>
      <c r="E369" s="2" t="s">
        <v>115</v>
      </c>
      <c r="F369" s="2" t="s">
        <v>120</v>
      </c>
      <c r="G369" s="2" t="s">
        <v>80</v>
      </c>
      <c r="H369" s="2">
        <v>181.3</v>
      </c>
      <c r="I369" s="2">
        <v>91</v>
      </c>
      <c r="J369" s="2" t="s">
        <v>19</v>
      </c>
      <c r="K369" s="2" t="s">
        <v>36</v>
      </c>
      <c r="L369" s="2" t="s">
        <v>42</v>
      </c>
      <c r="M369" s="3">
        <v>44758</v>
      </c>
      <c r="N369" s="4">
        <f>Table1_3[[#This Row],[Admission_Date]]</f>
        <v>44758</v>
      </c>
      <c r="O369" s="5">
        <f>Table1_3[[#This Row],[Admission_Date]]</f>
        <v>44758</v>
      </c>
      <c r="P369" s="2">
        <v>0</v>
      </c>
      <c r="Q369" s="2">
        <f t="shared" si="5"/>
        <v>45</v>
      </c>
      <c r="R369" s="2" t="s">
        <v>2525</v>
      </c>
      <c r="S369" s="2">
        <v>27.685080084418193</v>
      </c>
      <c r="T369" s="2" t="s">
        <v>2526</v>
      </c>
      <c r="U369" t="str">
        <f>INDEX(Table2[Doctor_Name],MATCH(Table1_3[[#This Row],[Department]],Table2[Department],0))</f>
        <v>Dr. Rahul Nair</v>
      </c>
    </row>
    <row r="370" spans="1:21" x14ac:dyDescent="0.35">
      <c r="A370" s="2" t="s">
        <v>645</v>
      </c>
      <c r="B370" s="2" t="s">
        <v>646</v>
      </c>
      <c r="C370" s="2">
        <v>1</v>
      </c>
      <c r="D370" s="2" t="s">
        <v>29</v>
      </c>
      <c r="E370" s="2" t="s">
        <v>24</v>
      </c>
      <c r="F370" s="2" t="s">
        <v>141</v>
      </c>
      <c r="G370" s="2" t="s">
        <v>35</v>
      </c>
      <c r="H370" s="2">
        <v>163</v>
      </c>
      <c r="I370" s="2">
        <v>101.2</v>
      </c>
      <c r="J370" s="2" t="s">
        <v>65</v>
      </c>
      <c r="K370" s="2" t="s">
        <v>65</v>
      </c>
      <c r="L370" s="2" t="s">
        <v>175</v>
      </c>
      <c r="M370" s="3">
        <v>44286</v>
      </c>
      <c r="N370" s="4">
        <f>Table1_3[[#This Row],[Admission_Date]]</f>
        <v>44286</v>
      </c>
      <c r="O370" s="5">
        <f>Table1_3[[#This Row],[Admission_Date]]</f>
        <v>44286</v>
      </c>
      <c r="P370" s="2">
        <v>11615.14</v>
      </c>
      <c r="Q370" s="2">
        <f t="shared" si="5"/>
        <v>38</v>
      </c>
      <c r="R370" s="2" t="s">
        <v>2521</v>
      </c>
      <c r="S370" s="2">
        <v>38.089502804019723</v>
      </c>
      <c r="T370" s="2" t="s">
        <v>2522</v>
      </c>
      <c r="U370" t="str">
        <f>INDEX(Table2[Doctor_Name],MATCH(Table1_3[[#This Row],[Department]],Table2[Department],0))</f>
        <v>Dr. Arvind Wilson</v>
      </c>
    </row>
    <row r="371" spans="1:21" x14ac:dyDescent="0.35">
      <c r="A371" s="2" t="s">
        <v>23</v>
      </c>
      <c r="B371" s="2" t="s">
        <v>2403</v>
      </c>
      <c r="C371" s="2">
        <v>74</v>
      </c>
      <c r="D371" s="2" t="s">
        <v>29</v>
      </c>
      <c r="E371" s="2" t="s">
        <v>24</v>
      </c>
      <c r="F371" s="2" t="s">
        <v>2517</v>
      </c>
      <c r="G371" s="2" t="s">
        <v>25</v>
      </c>
      <c r="H371" s="2">
        <v>149</v>
      </c>
      <c r="I371" s="2">
        <v>70</v>
      </c>
      <c r="J371" s="2" t="s">
        <v>36</v>
      </c>
      <c r="K371" s="2" t="s">
        <v>36</v>
      </c>
      <c r="L371" s="2" t="s">
        <v>69</v>
      </c>
      <c r="M371" s="3">
        <v>44254</v>
      </c>
      <c r="N371" s="4">
        <f>Table1_3[[#This Row],[Admission_Date]]</f>
        <v>44254</v>
      </c>
      <c r="O371" s="5">
        <f>Table1_3[[#This Row],[Admission_Date]]</f>
        <v>44254</v>
      </c>
      <c r="P371" s="2">
        <v>0</v>
      </c>
      <c r="Q371" s="2">
        <f t="shared" si="5"/>
        <v>107</v>
      </c>
      <c r="R371" s="2" t="s">
        <v>2525</v>
      </c>
      <c r="S371" s="2">
        <v>31.530111256249718</v>
      </c>
      <c r="T371" s="2" t="s">
        <v>2522</v>
      </c>
      <c r="U371" t="str">
        <f>INDEX(Table2[Doctor_Name],MATCH(Table1_3[[#This Row],[Department]],Table2[Department],0))</f>
        <v>Dr. Vikram Wang</v>
      </c>
    </row>
    <row r="372" spans="1:21" x14ac:dyDescent="0.35">
      <c r="A372" s="2" t="s">
        <v>145</v>
      </c>
      <c r="B372" s="2" t="s">
        <v>329</v>
      </c>
      <c r="C372" s="2">
        <v>44</v>
      </c>
      <c r="D372" s="2" t="s">
        <v>138</v>
      </c>
      <c r="E372" s="2" t="s">
        <v>146</v>
      </c>
      <c r="F372" s="2" t="s">
        <v>17</v>
      </c>
      <c r="G372" s="2" t="s">
        <v>160</v>
      </c>
      <c r="H372" s="2">
        <v>192.1</v>
      </c>
      <c r="I372" s="2">
        <v>96</v>
      </c>
      <c r="J372" s="2" t="s">
        <v>65</v>
      </c>
      <c r="K372" s="2" t="s">
        <v>19</v>
      </c>
      <c r="L372" s="2" t="s">
        <v>86</v>
      </c>
      <c r="M372" s="3">
        <v>44472</v>
      </c>
      <c r="N372" s="4">
        <f>Table1_3[[#This Row],[Admission_Date]]</f>
        <v>44472</v>
      </c>
      <c r="O372" s="5">
        <f>Table1_3[[#This Row],[Admission_Date]]</f>
        <v>44472</v>
      </c>
      <c r="P372" s="2">
        <v>16007.33</v>
      </c>
      <c r="Q372" s="2">
        <f t="shared" si="5"/>
        <v>35</v>
      </c>
      <c r="R372" s="2" t="s">
        <v>2523</v>
      </c>
      <c r="S372" s="2">
        <v>26.014561108610518</v>
      </c>
      <c r="T372" s="2" t="s">
        <v>2526</v>
      </c>
      <c r="U372" t="str">
        <f>INDEX(Table2[Doctor_Name],MATCH(Table1_3[[#This Row],[Department]],Table2[Department],0))</f>
        <v>Dr. Meera Torres</v>
      </c>
    </row>
    <row r="373" spans="1:21" x14ac:dyDescent="0.35">
      <c r="A373" s="2" t="s">
        <v>611</v>
      </c>
      <c r="B373" s="2" t="s">
        <v>612</v>
      </c>
      <c r="C373" s="2">
        <v>9</v>
      </c>
      <c r="D373" s="2" t="s">
        <v>138</v>
      </c>
      <c r="E373" s="2" t="s">
        <v>146</v>
      </c>
      <c r="F373" s="2" t="s">
        <v>141</v>
      </c>
      <c r="G373" s="2" t="s">
        <v>18</v>
      </c>
      <c r="H373" s="2">
        <v>163.19999999999999</v>
      </c>
      <c r="I373" s="2">
        <v>95.6</v>
      </c>
      <c r="J373" s="2" t="s">
        <v>65</v>
      </c>
      <c r="K373" s="2" t="s">
        <v>65</v>
      </c>
      <c r="L373" s="2" t="s">
        <v>42</v>
      </c>
      <c r="M373" s="3">
        <v>44218</v>
      </c>
      <c r="N373" s="4">
        <f>Table1_3[[#This Row],[Admission_Date]]</f>
        <v>44218</v>
      </c>
      <c r="O373" s="5">
        <f>Table1_3[[#This Row],[Admission_Date]]</f>
        <v>44218</v>
      </c>
      <c r="P373" s="2">
        <v>19504.04</v>
      </c>
      <c r="Q373" s="2">
        <f t="shared" si="5"/>
        <v>45</v>
      </c>
      <c r="R373" s="2" t="s">
        <v>2521</v>
      </c>
      <c r="S373" s="2">
        <v>35.89364667435602</v>
      </c>
      <c r="T373" s="2" t="s">
        <v>2522</v>
      </c>
      <c r="U373" t="str">
        <f>INDEX(Table2[Doctor_Name],MATCH(Table1_3[[#This Row],[Department]],Table2[Department],0))</f>
        <v>Dr. Rahul Nair</v>
      </c>
    </row>
    <row r="374" spans="1:21" x14ac:dyDescent="0.35">
      <c r="A374" s="2" t="s">
        <v>562</v>
      </c>
      <c r="B374" s="2" t="s">
        <v>563</v>
      </c>
      <c r="C374" s="2">
        <v>25</v>
      </c>
      <c r="D374" s="2" t="s">
        <v>138</v>
      </c>
      <c r="E374" s="2" t="s">
        <v>45</v>
      </c>
      <c r="F374" s="2" t="s">
        <v>273</v>
      </c>
      <c r="G374" s="2" t="s">
        <v>124</v>
      </c>
      <c r="H374" s="2">
        <v>173</v>
      </c>
      <c r="I374" s="2">
        <v>51.3</v>
      </c>
      <c r="J374" s="2" t="s">
        <v>65</v>
      </c>
      <c r="K374" s="2" t="s">
        <v>19</v>
      </c>
      <c r="L374" s="2" t="s">
        <v>31</v>
      </c>
      <c r="M374" s="3">
        <v>45107</v>
      </c>
      <c r="N374" s="4">
        <f>Table1_3[[#This Row],[Admission_Date]]</f>
        <v>45107</v>
      </c>
      <c r="O374" s="5">
        <f>Table1_3[[#This Row],[Admission_Date]]</f>
        <v>45107</v>
      </c>
      <c r="P374" s="2">
        <v>12536.05</v>
      </c>
      <c r="Q374" s="2">
        <f t="shared" si="5"/>
        <v>37</v>
      </c>
      <c r="R374" s="2" t="s">
        <v>2527</v>
      </c>
      <c r="S374" s="2">
        <v>17.140566006214705</v>
      </c>
      <c r="T374" s="2" t="s">
        <v>2524</v>
      </c>
      <c r="U374" t="str">
        <f>INDEX(Table2[Doctor_Name],MATCH(Table1_3[[#This Row],[Department]],Table2[Department],0))</f>
        <v>Dr. Arvind Chen</v>
      </c>
    </row>
    <row r="375" spans="1:21" x14ac:dyDescent="0.35">
      <c r="A375" s="2" t="s">
        <v>1354</v>
      </c>
      <c r="B375" s="2" t="s">
        <v>1355</v>
      </c>
      <c r="C375" s="2">
        <v>40</v>
      </c>
      <c r="D375" s="2" t="s">
        <v>52</v>
      </c>
      <c r="E375" s="2" t="s">
        <v>84</v>
      </c>
      <c r="F375" s="2" t="s">
        <v>17</v>
      </c>
      <c r="G375" s="2" t="s">
        <v>208</v>
      </c>
      <c r="H375" s="2">
        <v>184.6</v>
      </c>
      <c r="I375" s="2">
        <v>41</v>
      </c>
      <c r="J375" s="2" t="s">
        <v>19</v>
      </c>
      <c r="K375" s="2" t="s">
        <v>65</v>
      </c>
      <c r="L375" s="2" t="s">
        <v>175</v>
      </c>
      <c r="M375" s="3">
        <v>44308</v>
      </c>
      <c r="N375" s="4">
        <f>Table1_3[[#This Row],[Admission_Date]]</f>
        <v>44308</v>
      </c>
      <c r="O375" s="5">
        <f>Table1_3[[#This Row],[Admission_Date]]</f>
        <v>44308</v>
      </c>
      <c r="P375" s="2">
        <v>17518.900000000001</v>
      </c>
      <c r="Q375" s="2">
        <f t="shared" si="5"/>
        <v>38</v>
      </c>
      <c r="R375" s="2" t="s">
        <v>2523</v>
      </c>
      <c r="S375" s="2">
        <v>12.031519058513094</v>
      </c>
      <c r="T375" s="2" t="s">
        <v>2524</v>
      </c>
      <c r="U375" t="str">
        <f>INDEX(Table2[Doctor_Name],MATCH(Table1_3[[#This Row],[Department]],Table2[Department],0))</f>
        <v>Dr. Arvind Wilson</v>
      </c>
    </row>
    <row r="376" spans="1:21" x14ac:dyDescent="0.35">
      <c r="A376" s="2" t="s">
        <v>975</v>
      </c>
      <c r="B376" s="2" t="s">
        <v>2469</v>
      </c>
      <c r="C376" s="2">
        <v>89</v>
      </c>
      <c r="D376" s="2" t="s">
        <v>138</v>
      </c>
      <c r="E376" s="2" t="s">
        <v>119</v>
      </c>
      <c r="F376" s="2" t="s">
        <v>17</v>
      </c>
      <c r="G376" s="2" t="s">
        <v>35</v>
      </c>
      <c r="H376" s="2">
        <v>177</v>
      </c>
      <c r="I376" s="2">
        <v>54.6</v>
      </c>
      <c r="J376" s="2" t="s">
        <v>19</v>
      </c>
      <c r="K376" s="2" t="s">
        <v>65</v>
      </c>
      <c r="L376" s="2" t="s">
        <v>226</v>
      </c>
      <c r="M376" s="3">
        <v>44204</v>
      </c>
      <c r="N376" s="4">
        <f>Table1_3[[#This Row],[Admission_Date]]</f>
        <v>44204</v>
      </c>
      <c r="O376" s="5">
        <f>Table1_3[[#This Row],[Admission_Date]]</f>
        <v>44204</v>
      </c>
      <c r="P376" s="2">
        <v>11539.74</v>
      </c>
      <c r="Q376" s="2">
        <f t="shared" si="5"/>
        <v>35</v>
      </c>
      <c r="R376" s="2" t="s">
        <v>2525</v>
      </c>
      <c r="S376" s="2">
        <v>17.427942162213924</v>
      </c>
      <c r="T376" s="2" t="s">
        <v>2524</v>
      </c>
      <c r="U376" t="str">
        <f>INDEX(Table2[Doctor_Name],MATCH(Table1_3[[#This Row],[Department]],Table2[Department],0))</f>
        <v>Dr. Vikram Khan</v>
      </c>
    </row>
    <row r="377" spans="1:21" x14ac:dyDescent="0.35">
      <c r="A377" s="2" t="s">
        <v>299</v>
      </c>
      <c r="B377" s="2" t="s">
        <v>300</v>
      </c>
      <c r="C377" s="2">
        <v>52</v>
      </c>
      <c r="D377" s="2" t="s">
        <v>29</v>
      </c>
      <c r="E377" s="2" t="s">
        <v>24</v>
      </c>
      <c r="F377" s="2" t="s">
        <v>17</v>
      </c>
      <c r="G377" s="2" t="s">
        <v>35</v>
      </c>
      <c r="H377" s="2">
        <v>184</v>
      </c>
      <c r="I377" s="2">
        <v>52.8</v>
      </c>
      <c r="J377" s="2" t="s">
        <v>65</v>
      </c>
      <c r="K377" s="2" t="s">
        <v>36</v>
      </c>
      <c r="L377" s="2" t="s">
        <v>2537</v>
      </c>
      <c r="M377" s="3">
        <v>45139</v>
      </c>
      <c r="N377" s="4">
        <f>Table1_3[[#This Row],[Admission_Date]]</f>
        <v>45139</v>
      </c>
      <c r="O377" s="5">
        <f>Table1_3[[#This Row],[Admission_Date]]</f>
        <v>45139</v>
      </c>
      <c r="P377" s="2">
        <v>48777.81</v>
      </c>
      <c r="Q377" s="2">
        <f t="shared" si="5"/>
        <v>1</v>
      </c>
      <c r="R377" s="2" t="s">
        <v>2523</v>
      </c>
      <c r="S377" s="2">
        <v>15.595463137996218</v>
      </c>
      <c r="T377" s="2" t="s">
        <v>2524</v>
      </c>
      <c r="U377" t="str">
        <f>INDEX(Table2[Doctor_Name],MATCH(Table1_3[[#This Row],[Department]],Table2[Department],0))</f>
        <v>Dr. Sunita Zhang</v>
      </c>
    </row>
    <row r="378" spans="1:21" x14ac:dyDescent="0.35">
      <c r="A378" s="2" t="s">
        <v>1400</v>
      </c>
      <c r="B378" s="2" t="s">
        <v>1401</v>
      </c>
      <c r="C378" s="2">
        <v>23</v>
      </c>
      <c r="D378" s="2" t="s">
        <v>138</v>
      </c>
      <c r="E378" s="2" t="s">
        <v>24</v>
      </c>
      <c r="F378" s="2" t="s">
        <v>120</v>
      </c>
      <c r="G378" s="2" t="s">
        <v>36</v>
      </c>
      <c r="H378" s="2">
        <v>147</v>
      </c>
      <c r="I378" s="2">
        <v>111</v>
      </c>
      <c r="J378" s="2" t="s">
        <v>65</v>
      </c>
      <c r="K378" s="2" t="s">
        <v>65</v>
      </c>
      <c r="L378" s="2" t="s">
        <v>107</v>
      </c>
      <c r="M378" s="3">
        <v>45131</v>
      </c>
      <c r="N378" s="4">
        <f>Table1_3[[#This Row],[Admission_Date]]</f>
        <v>45131</v>
      </c>
      <c r="O378" s="5">
        <f>Table1_3[[#This Row],[Admission_Date]]</f>
        <v>45131</v>
      </c>
      <c r="P378" s="2">
        <v>18797.21</v>
      </c>
      <c r="Q378" s="2">
        <f t="shared" si="5"/>
        <v>83</v>
      </c>
      <c r="R378" s="2" t="s">
        <v>2527</v>
      </c>
      <c r="S378" s="2">
        <v>51.367485769818138</v>
      </c>
      <c r="T378" s="2" t="s">
        <v>2522</v>
      </c>
      <c r="U378" t="str">
        <f>INDEX(Table2[Doctor_Name],MATCH(Table1_3[[#This Row],[Department]],Table2[Department],0))</f>
        <v>Dr. Anita Sanchez</v>
      </c>
    </row>
    <row r="379" spans="1:21" x14ac:dyDescent="0.35">
      <c r="A379" s="2" t="s">
        <v>1052</v>
      </c>
      <c r="B379" s="2" t="s">
        <v>1053</v>
      </c>
      <c r="C379" s="2">
        <v>19</v>
      </c>
      <c r="D379" s="2" t="s">
        <v>29</v>
      </c>
      <c r="E379" s="2" t="s">
        <v>111</v>
      </c>
      <c r="F379" s="2" t="s">
        <v>2518</v>
      </c>
      <c r="G379" s="2" t="s">
        <v>18</v>
      </c>
      <c r="H379" s="2" t="s">
        <v>2519</v>
      </c>
      <c r="I379" s="2">
        <v>62</v>
      </c>
      <c r="J379" s="2" t="s">
        <v>36</v>
      </c>
      <c r="K379" s="2" t="s">
        <v>65</v>
      </c>
      <c r="L379" s="2" t="s">
        <v>226</v>
      </c>
      <c r="M379" s="3">
        <v>44799</v>
      </c>
      <c r="N379" s="4">
        <f>Table1_3[[#This Row],[Admission_Date]]</f>
        <v>44799</v>
      </c>
      <c r="O379" s="5">
        <f>Table1_3[[#This Row],[Admission_Date]]</f>
        <v>44799</v>
      </c>
      <c r="P379" s="2">
        <v>16720.189999999999</v>
      </c>
      <c r="Q379" s="2">
        <f t="shared" si="5"/>
        <v>35</v>
      </c>
      <c r="R379" s="2" t="s">
        <v>2527</v>
      </c>
      <c r="S379" s="2" t="s">
        <v>36</v>
      </c>
      <c r="T379" s="2" t="s">
        <v>36</v>
      </c>
      <c r="U379" t="str">
        <f>INDEX(Table2[Doctor_Name],MATCH(Table1_3[[#This Row],[Department]],Table2[Department],0))</f>
        <v>Dr. Vikram Khan</v>
      </c>
    </row>
    <row r="380" spans="1:21" x14ac:dyDescent="0.35">
      <c r="A380" s="2" t="s">
        <v>1483</v>
      </c>
      <c r="B380" s="2" t="s">
        <v>1484</v>
      </c>
      <c r="C380" s="2">
        <v>11</v>
      </c>
      <c r="D380" s="2" t="s">
        <v>29</v>
      </c>
      <c r="E380" s="2" t="s">
        <v>16</v>
      </c>
      <c r="F380" s="2" t="s">
        <v>79</v>
      </c>
      <c r="G380" s="2" t="s">
        <v>90</v>
      </c>
      <c r="H380" s="2">
        <v>182.6</v>
      </c>
      <c r="I380" s="2">
        <v>81.8</v>
      </c>
      <c r="J380" s="2" t="s">
        <v>36</v>
      </c>
      <c r="K380" s="2" t="s">
        <v>65</v>
      </c>
      <c r="L380" s="2" t="s">
        <v>175</v>
      </c>
      <c r="M380" s="3">
        <v>45186</v>
      </c>
      <c r="N380" s="4">
        <f>Table1_3[[#This Row],[Admission_Date]]</f>
        <v>45186</v>
      </c>
      <c r="O380" s="5">
        <f>Table1_3[[#This Row],[Admission_Date]]</f>
        <v>45186</v>
      </c>
      <c r="P380" s="2">
        <v>47809.72</v>
      </c>
      <c r="Q380" s="2">
        <f t="shared" si="5"/>
        <v>1</v>
      </c>
      <c r="R380" s="2" t="s">
        <v>2521</v>
      </c>
      <c r="S380" s="2">
        <v>24.533062050052248</v>
      </c>
      <c r="T380" s="2" t="s">
        <v>1567</v>
      </c>
      <c r="U380" t="str">
        <f>INDEX(Table2[Doctor_Name],MATCH(Table1_3[[#This Row],[Department]],Table2[Department],0))</f>
        <v>Dr. Arvind Wilson</v>
      </c>
    </row>
    <row r="381" spans="1:21" x14ac:dyDescent="0.35">
      <c r="A381" s="2" t="s">
        <v>724</v>
      </c>
      <c r="B381" s="2" t="s">
        <v>2447</v>
      </c>
      <c r="C381" s="2">
        <v>58</v>
      </c>
      <c r="D381" s="2" t="s">
        <v>138</v>
      </c>
      <c r="E381" s="2" t="s">
        <v>130</v>
      </c>
      <c r="F381" s="2" t="s">
        <v>2518</v>
      </c>
      <c r="G381" s="2" t="s">
        <v>40</v>
      </c>
      <c r="H381" s="2">
        <v>159</v>
      </c>
      <c r="I381" s="2">
        <v>74</v>
      </c>
      <c r="J381" s="2" t="s">
        <v>19</v>
      </c>
      <c r="K381" s="2" t="s">
        <v>65</v>
      </c>
      <c r="L381" s="2" t="s">
        <v>107</v>
      </c>
      <c r="M381" s="3">
        <v>45107</v>
      </c>
      <c r="N381" s="4">
        <f>Table1_3[[#This Row],[Admission_Date]]</f>
        <v>45107</v>
      </c>
      <c r="O381" s="5">
        <f>Table1_3[[#This Row],[Admission_Date]]</f>
        <v>45107</v>
      </c>
      <c r="P381" s="2">
        <v>17902.96</v>
      </c>
      <c r="Q381" s="2">
        <f t="shared" si="5"/>
        <v>83</v>
      </c>
      <c r="R381" s="2" t="s">
        <v>2523</v>
      </c>
      <c r="S381" s="2">
        <v>29.270994027135</v>
      </c>
      <c r="T381" s="2" t="s">
        <v>2526</v>
      </c>
      <c r="U381" t="str">
        <f>INDEX(Table2[Doctor_Name],MATCH(Table1_3[[#This Row],[Department]],Table2[Department],0))</f>
        <v>Dr. Anita Sanchez</v>
      </c>
    </row>
    <row r="382" spans="1:21" x14ac:dyDescent="0.35">
      <c r="A382" s="2" t="s">
        <v>1323</v>
      </c>
      <c r="B382" s="2" t="s">
        <v>1324</v>
      </c>
      <c r="C382" s="2">
        <v>64</v>
      </c>
      <c r="D382" s="2" t="s">
        <v>138</v>
      </c>
      <c r="E382" s="2" t="s">
        <v>53</v>
      </c>
      <c r="F382" s="2" t="s">
        <v>2518</v>
      </c>
      <c r="G382" s="2" t="s">
        <v>35</v>
      </c>
      <c r="H382" s="2">
        <v>150</v>
      </c>
      <c r="I382" s="2">
        <v>47</v>
      </c>
      <c r="J382" s="2" t="s">
        <v>19</v>
      </c>
      <c r="K382" s="2" t="s">
        <v>65</v>
      </c>
      <c r="L382" s="2" t="s">
        <v>69</v>
      </c>
      <c r="M382" s="3">
        <v>44439</v>
      </c>
      <c r="N382" s="4">
        <f>Table1_3[[#This Row],[Admission_Date]]</f>
        <v>44439</v>
      </c>
      <c r="O382" s="5">
        <f>Table1_3[[#This Row],[Admission_Date]]</f>
        <v>44439</v>
      </c>
      <c r="P382" s="2">
        <v>18331.73</v>
      </c>
      <c r="Q382" s="2">
        <f t="shared" si="5"/>
        <v>107</v>
      </c>
      <c r="R382" s="2" t="s">
        <v>2525</v>
      </c>
      <c r="S382" s="2">
        <v>20.888888888888889</v>
      </c>
      <c r="T382" s="2" t="s">
        <v>1567</v>
      </c>
      <c r="U382" t="str">
        <f>INDEX(Table2[Doctor_Name],MATCH(Table1_3[[#This Row],[Department]],Table2[Department],0))</f>
        <v>Dr. Vikram Wang</v>
      </c>
    </row>
    <row r="383" spans="1:21" x14ac:dyDescent="0.35">
      <c r="A383" s="2" t="s">
        <v>648</v>
      </c>
      <c r="B383" s="2" t="s">
        <v>649</v>
      </c>
      <c r="C383" s="2">
        <v>36</v>
      </c>
      <c r="D383" s="2" t="s">
        <v>138</v>
      </c>
      <c r="E383" s="2" t="s">
        <v>89</v>
      </c>
      <c r="F383" s="2" t="s">
        <v>17</v>
      </c>
      <c r="G383" s="2" t="s">
        <v>35</v>
      </c>
      <c r="H383" s="2">
        <v>154.1</v>
      </c>
      <c r="I383" s="2" t="s">
        <v>2519</v>
      </c>
      <c r="J383" s="2" t="s">
        <v>19</v>
      </c>
      <c r="K383" s="2" t="s">
        <v>19</v>
      </c>
      <c r="L383" s="2" t="s">
        <v>199</v>
      </c>
      <c r="M383" s="3">
        <v>44877</v>
      </c>
      <c r="N383" s="4">
        <f>Table1_3[[#This Row],[Admission_Date]]</f>
        <v>44877</v>
      </c>
      <c r="O383" s="5">
        <f>Table1_3[[#This Row],[Admission_Date]]</f>
        <v>44877</v>
      </c>
      <c r="P383" s="2">
        <v>47317.84</v>
      </c>
      <c r="Q383" s="2">
        <f t="shared" si="5"/>
        <v>1</v>
      </c>
      <c r="R383" s="2" t="s">
        <v>2523</v>
      </c>
      <c r="S383" s="2" t="s">
        <v>36</v>
      </c>
      <c r="T383" s="2" t="s">
        <v>36</v>
      </c>
      <c r="U383" t="str">
        <f>INDEX(Table2[Doctor_Name],MATCH(Table1_3[[#This Row],[Department]],Table2[Department],0))</f>
        <v>Dr. Vikram Torres</v>
      </c>
    </row>
    <row r="384" spans="1:21" x14ac:dyDescent="0.35">
      <c r="A384" s="2" t="s">
        <v>1170</v>
      </c>
      <c r="B384" s="2" t="s">
        <v>1171</v>
      </c>
      <c r="C384" s="2" t="s">
        <v>2519</v>
      </c>
      <c r="D384" s="2" t="s">
        <v>29</v>
      </c>
      <c r="E384" s="2" t="s">
        <v>146</v>
      </c>
      <c r="F384" s="2" t="s">
        <v>17</v>
      </c>
      <c r="G384" s="2" t="s">
        <v>102</v>
      </c>
      <c r="H384" s="2">
        <v>166.1</v>
      </c>
      <c r="I384" s="2">
        <v>102.1</v>
      </c>
      <c r="J384" s="2" t="s">
        <v>65</v>
      </c>
      <c r="K384" s="2" t="s">
        <v>65</v>
      </c>
      <c r="L384" s="2" t="s">
        <v>69</v>
      </c>
      <c r="M384" s="3">
        <v>44262</v>
      </c>
      <c r="N384" s="4">
        <f>Table1_3[[#This Row],[Admission_Date]]</f>
        <v>44262</v>
      </c>
      <c r="O384" s="5">
        <f>Table1_3[[#This Row],[Admission_Date]]</f>
        <v>44262</v>
      </c>
      <c r="P384" s="2">
        <v>8107.72</v>
      </c>
      <c r="Q384" s="2">
        <f t="shared" si="5"/>
        <v>107</v>
      </c>
      <c r="R384" s="2" t="s">
        <v>36</v>
      </c>
      <c r="S384" s="2">
        <v>37.007221301371075</v>
      </c>
      <c r="T384" s="2" t="s">
        <v>2522</v>
      </c>
      <c r="U384" t="str">
        <f>INDEX(Table2[Doctor_Name],MATCH(Table1_3[[#This Row],[Department]],Table2[Department],0))</f>
        <v>Dr. Vikram Wang</v>
      </c>
    </row>
    <row r="385" spans="1:21" x14ac:dyDescent="0.35">
      <c r="A385" s="2" t="s">
        <v>879</v>
      </c>
      <c r="B385" s="2" t="s">
        <v>880</v>
      </c>
      <c r="C385" s="2">
        <v>49</v>
      </c>
      <c r="D385" s="2" t="s">
        <v>138</v>
      </c>
      <c r="E385" s="2" t="s">
        <v>45</v>
      </c>
      <c r="F385" s="2" t="s">
        <v>79</v>
      </c>
      <c r="G385" s="2" t="s">
        <v>18</v>
      </c>
      <c r="H385" s="2">
        <v>192</v>
      </c>
      <c r="I385" s="2">
        <v>80.599999999999994</v>
      </c>
      <c r="J385" s="2" t="s">
        <v>65</v>
      </c>
      <c r="K385" s="2" t="s">
        <v>19</v>
      </c>
      <c r="L385" s="2" t="s">
        <v>69</v>
      </c>
      <c r="M385" s="3">
        <v>44560</v>
      </c>
      <c r="N385" s="4">
        <f>Table1_3[[#This Row],[Admission_Date]]</f>
        <v>44560</v>
      </c>
      <c r="O385" s="5">
        <f>Table1_3[[#This Row],[Admission_Date]]</f>
        <v>44560</v>
      </c>
      <c r="P385" s="2">
        <v>41410.5</v>
      </c>
      <c r="Q385" s="2">
        <f t="shared" si="5"/>
        <v>107</v>
      </c>
      <c r="R385" s="2" t="s">
        <v>2523</v>
      </c>
      <c r="S385" s="2">
        <v>21.864149305555554</v>
      </c>
      <c r="T385" s="2" t="s">
        <v>1567</v>
      </c>
      <c r="U385" t="str">
        <f>INDEX(Table2[Doctor_Name],MATCH(Table1_3[[#This Row],[Department]],Table2[Department],0))</f>
        <v>Dr. Vikram Wang</v>
      </c>
    </row>
    <row r="386" spans="1:21" x14ac:dyDescent="0.35">
      <c r="A386" s="2" t="s">
        <v>1329</v>
      </c>
      <c r="B386" s="2" t="s">
        <v>2498</v>
      </c>
      <c r="C386" s="2">
        <v>68</v>
      </c>
      <c r="D386" s="2" t="s">
        <v>138</v>
      </c>
      <c r="E386" s="2" t="s">
        <v>230</v>
      </c>
      <c r="F386" s="2" t="s">
        <v>141</v>
      </c>
      <c r="G386" s="2" t="s">
        <v>102</v>
      </c>
      <c r="H386" s="2">
        <v>184.3</v>
      </c>
      <c r="I386" s="2">
        <v>129</v>
      </c>
      <c r="J386" s="2" t="s">
        <v>19</v>
      </c>
      <c r="K386" s="2" t="s">
        <v>19</v>
      </c>
      <c r="L386" s="2" t="s">
        <v>31</v>
      </c>
      <c r="M386" s="3">
        <v>44337</v>
      </c>
      <c r="N386" s="4">
        <f>Table1_3[[#This Row],[Admission_Date]]</f>
        <v>44337</v>
      </c>
      <c r="O386" s="5">
        <f>Table1_3[[#This Row],[Admission_Date]]</f>
        <v>44337</v>
      </c>
      <c r="P386" s="2">
        <v>47777.29</v>
      </c>
      <c r="Q386" s="2">
        <f t="shared" ref="Q386:Q449" si="6">SUMPRODUCT(($L$2:$L$5000=L386)*($O$2:$O$5000&gt;P386))+1</f>
        <v>1</v>
      </c>
      <c r="R386" s="2" t="s">
        <v>2525</v>
      </c>
      <c r="S386" s="2">
        <v>37.978607739569192</v>
      </c>
      <c r="T386" s="2" t="s">
        <v>2522</v>
      </c>
      <c r="U386" t="str">
        <f>INDEX(Table2[Doctor_Name],MATCH(Table1_3[[#This Row],[Department]],Table2[Department],0))</f>
        <v>Dr. Arvind Chen</v>
      </c>
    </row>
    <row r="387" spans="1:21" x14ac:dyDescent="0.35">
      <c r="A387" s="2" t="s">
        <v>1065</v>
      </c>
      <c r="B387" s="2" t="s">
        <v>2477</v>
      </c>
      <c r="C387" s="2">
        <v>40</v>
      </c>
      <c r="D387" s="2" t="s">
        <v>52</v>
      </c>
      <c r="E387" s="2" t="s">
        <v>111</v>
      </c>
      <c r="F387" s="2" t="s">
        <v>2517</v>
      </c>
      <c r="G387" s="2" t="s">
        <v>417</v>
      </c>
      <c r="H387" s="2">
        <v>165.5</v>
      </c>
      <c r="I387" s="2" t="s">
        <v>2519</v>
      </c>
      <c r="J387" s="2" t="s">
        <v>36</v>
      </c>
      <c r="K387" s="2" t="s">
        <v>65</v>
      </c>
      <c r="L387" s="2" t="s">
        <v>175</v>
      </c>
      <c r="M387" s="3">
        <v>44692</v>
      </c>
      <c r="N387" s="4">
        <f>Table1_3[[#This Row],[Admission_Date]]</f>
        <v>44692</v>
      </c>
      <c r="O387" s="5">
        <f>Table1_3[[#This Row],[Admission_Date]]</f>
        <v>44692</v>
      </c>
      <c r="P387" s="2">
        <v>44022.35</v>
      </c>
      <c r="Q387" s="2">
        <f t="shared" si="6"/>
        <v>38</v>
      </c>
      <c r="R387" s="2" t="s">
        <v>2523</v>
      </c>
      <c r="S387" s="2" t="s">
        <v>36</v>
      </c>
      <c r="T387" s="2" t="s">
        <v>36</v>
      </c>
      <c r="U387" t="str">
        <f>INDEX(Table2[Doctor_Name],MATCH(Table1_3[[#This Row],[Department]],Table2[Department],0))</f>
        <v>Dr. Arvind Wilson</v>
      </c>
    </row>
    <row r="388" spans="1:21" x14ac:dyDescent="0.35">
      <c r="A388" s="2" t="s">
        <v>819</v>
      </c>
      <c r="B388" s="2" t="s">
        <v>820</v>
      </c>
      <c r="C388" s="2">
        <v>39</v>
      </c>
      <c r="D388" s="2" t="s">
        <v>29</v>
      </c>
      <c r="E388" s="2" t="s">
        <v>119</v>
      </c>
      <c r="F388" s="2" t="s">
        <v>120</v>
      </c>
      <c r="G388" s="2" t="s">
        <v>60</v>
      </c>
      <c r="H388" s="2">
        <v>169</v>
      </c>
      <c r="I388" s="2">
        <v>122</v>
      </c>
      <c r="J388" s="2" t="s">
        <v>36</v>
      </c>
      <c r="K388" s="2" t="s">
        <v>65</v>
      </c>
      <c r="L388" s="2" t="s">
        <v>69</v>
      </c>
      <c r="M388" s="3">
        <v>45002</v>
      </c>
      <c r="N388" s="4">
        <f>Table1_3[[#This Row],[Admission_Date]]</f>
        <v>45002</v>
      </c>
      <c r="O388" s="5">
        <f>Table1_3[[#This Row],[Admission_Date]]</f>
        <v>45002</v>
      </c>
      <c r="P388" s="2">
        <v>47311.519999999997</v>
      </c>
      <c r="Q388" s="2">
        <f t="shared" si="6"/>
        <v>1</v>
      </c>
      <c r="R388" s="2" t="s">
        <v>2523</v>
      </c>
      <c r="S388" s="2">
        <v>42.715591190784643</v>
      </c>
      <c r="T388" s="2" t="s">
        <v>2522</v>
      </c>
      <c r="U388" t="str">
        <f>INDEX(Table2[Doctor_Name],MATCH(Table1_3[[#This Row],[Department]],Table2[Department],0))</f>
        <v>Dr. Vikram Wang</v>
      </c>
    </row>
    <row r="389" spans="1:21" x14ac:dyDescent="0.35">
      <c r="A389" s="2" t="s">
        <v>180</v>
      </c>
      <c r="B389" s="2" t="s">
        <v>181</v>
      </c>
      <c r="C389" s="2">
        <v>90</v>
      </c>
      <c r="D389" s="2" t="s">
        <v>138</v>
      </c>
      <c r="E389" s="2" t="s">
        <v>111</v>
      </c>
      <c r="F389" s="2" t="s">
        <v>2518</v>
      </c>
      <c r="G389" s="2" t="s">
        <v>160</v>
      </c>
      <c r="H389" s="2">
        <v>155</v>
      </c>
      <c r="I389" s="2">
        <v>47</v>
      </c>
      <c r="J389" s="2" t="s">
        <v>19</v>
      </c>
      <c r="K389" s="2" t="s">
        <v>65</v>
      </c>
      <c r="L389" s="2" t="s">
        <v>103</v>
      </c>
      <c r="M389" s="3">
        <v>45120</v>
      </c>
      <c r="N389" s="4">
        <f>Table1_3[[#This Row],[Admission_Date]]</f>
        <v>45120</v>
      </c>
      <c r="O389" s="5">
        <f>Table1_3[[#This Row],[Admission_Date]]</f>
        <v>45120</v>
      </c>
      <c r="P389" s="2">
        <v>13011.95</v>
      </c>
      <c r="Q389" s="2">
        <f t="shared" si="6"/>
        <v>31</v>
      </c>
      <c r="R389" s="2" t="s">
        <v>2525</v>
      </c>
      <c r="S389" s="2">
        <v>19.562955254942764</v>
      </c>
      <c r="T389" s="2" t="s">
        <v>1567</v>
      </c>
      <c r="U389" t="str">
        <f>INDEX(Table2[Doctor_Name],MATCH(Table1_3[[#This Row],[Department]],Table2[Department],0))</f>
        <v>Dr. Suresh Johnson</v>
      </c>
    </row>
    <row r="390" spans="1:21" x14ac:dyDescent="0.35">
      <c r="A390" s="2" t="s">
        <v>1326</v>
      </c>
      <c r="B390" s="2" t="s">
        <v>1327</v>
      </c>
      <c r="C390" s="2">
        <v>25</v>
      </c>
      <c r="D390" s="2" t="s">
        <v>29</v>
      </c>
      <c r="E390" s="2" t="s">
        <v>146</v>
      </c>
      <c r="F390" s="2" t="s">
        <v>273</v>
      </c>
      <c r="G390" s="2" t="s">
        <v>417</v>
      </c>
      <c r="H390" s="2">
        <v>176.9</v>
      </c>
      <c r="I390" s="2">
        <v>81.8</v>
      </c>
      <c r="J390" s="2" t="s">
        <v>65</v>
      </c>
      <c r="K390" s="2" t="s">
        <v>65</v>
      </c>
      <c r="L390" s="2" t="s">
        <v>175</v>
      </c>
      <c r="M390" s="3">
        <v>44693</v>
      </c>
      <c r="N390" s="4">
        <f>Table1_3[[#This Row],[Admission_Date]]</f>
        <v>44693</v>
      </c>
      <c r="O390" s="5">
        <f>Table1_3[[#This Row],[Admission_Date]]</f>
        <v>44693</v>
      </c>
      <c r="P390" s="2">
        <v>47525.91</v>
      </c>
      <c r="Q390" s="2">
        <f t="shared" si="6"/>
        <v>1</v>
      </c>
      <c r="R390" s="2" t="s">
        <v>2527</v>
      </c>
      <c r="S390" s="2">
        <v>26.139521774573144</v>
      </c>
      <c r="T390" s="2" t="s">
        <v>2526</v>
      </c>
      <c r="U390" t="str">
        <f>INDEX(Table2[Doctor_Name],MATCH(Table1_3[[#This Row],[Department]],Table2[Department],0))</f>
        <v>Dr. Arvind Wilson</v>
      </c>
    </row>
    <row r="391" spans="1:21" x14ac:dyDescent="0.35">
      <c r="A391" s="2" t="s">
        <v>430</v>
      </c>
      <c r="B391" s="2" t="s">
        <v>431</v>
      </c>
      <c r="C391" s="2">
        <v>16</v>
      </c>
      <c r="D391" s="2" t="s">
        <v>52</v>
      </c>
      <c r="E391" s="2" t="s">
        <v>111</v>
      </c>
      <c r="F391" s="2" t="s">
        <v>2518</v>
      </c>
      <c r="G391" s="2" t="s">
        <v>90</v>
      </c>
      <c r="H391" s="2">
        <v>168</v>
      </c>
      <c r="I391" s="2">
        <v>53.8</v>
      </c>
      <c r="J391" s="2" t="s">
        <v>19</v>
      </c>
      <c r="K391" s="2" t="s">
        <v>65</v>
      </c>
      <c r="L391" s="2" t="s">
        <v>55</v>
      </c>
      <c r="M391" s="3">
        <v>44267</v>
      </c>
      <c r="N391" s="4">
        <f>Table1_3[[#This Row],[Admission_Date]]</f>
        <v>44267</v>
      </c>
      <c r="O391" s="5">
        <f>Table1_3[[#This Row],[Admission_Date]]</f>
        <v>44267</v>
      </c>
      <c r="P391" s="2">
        <v>26848.79</v>
      </c>
      <c r="Q391" s="2">
        <f t="shared" si="6"/>
        <v>42</v>
      </c>
      <c r="R391" s="2" t="s">
        <v>2521</v>
      </c>
      <c r="S391" s="2">
        <v>19.061791383219955</v>
      </c>
      <c r="T391" s="2" t="s">
        <v>1567</v>
      </c>
      <c r="U391" t="str">
        <f>INDEX(Table2[Doctor_Name],MATCH(Table1_3[[#This Row],[Department]],Table2[Department],0))</f>
        <v>Dr. Sunita Sanchez</v>
      </c>
    </row>
    <row r="392" spans="1:21" x14ac:dyDescent="0.35">
      <c r="A392" s="2" t="s">
        <v>235</v>
      </c>
      <c r="B392" s="2" t="s">
        <v>207</v>
      </c>
      <c r="C392" s="2">
        <v>7</v>
      </c>
      <c r="D392" s="2" t="s">
        <v>52</v>
      </c>
      <c r="E392" s="2" t="s">
        <v>24</v>
      </c>
      <c r="F392" s="2" t="s">
        <v>141</v>
      </c>
      <c r="G392" s="2" t="s">
        <v>36</v>
      </c>
      <c r="H392" s="2">
        <v>181</v>
      </c>
      <c r="I392" s="2">
        <v>61</v>
      </c>
      <c r="J392" s="2" t="s">
        <v>19</v>
      </c>
      <c r="K392" s="2" t="s">
        <v>19</v>
      </c>
      <c r="L392" s="2" t="s">
        <v>69</v>
      </c>
      <c r="M392" s="3">
        <v>44226</v>
      </c>
      <c r="N392" s="4">
        <f>Table1_3[[#This Row],[Admission_Date]]</f>
        <v>44226</v>
      </c>
      <c r="O392" s="5">
        <f>Table1_3[[#This Row],[Admission_Date]]</f>
        <v>44226</v>
      </c>
      <c r="P392" s="2">
        <v>41116.06</v>
      </c>
      <c r="Q392" s="2">
        <f t="shared" si="6"/>
        <v>107</v>
      </c>
      <c r="R392" s="2" t="s">
        <v>2521</v>
      </c>
      <c r="S392" s="2">
        <v>18.619700253350018</v>
      </c>
      <c r="T392" s="2" t="s">
        <v>1567</v>
      </c>
      <c r="U392" t="str">
        <f>INDEX(Table2[Doctor_Name],MATCH(Table1_3[[#This Row],[Department]],Table2[Department],0))</f>
        <v>Dr. Vikram Wang</v>
      </c>
    </row>
    <row r="393" spans="1:21" x14ac:dyDescent="0.35">
      <c r="A393" s="2" t="s">
        <v>656</v>
      </c>
      <c r="B393" s="2" t="s">
        <v>657</v>
      </c>
      <c r="C393" s="2" t="s">
        <v>2519</v>
      </c>
      <c r="D393" s="2" t="s">
        <v>138</v>
      </c>
      <c r="E393" s="2" t="s">
        <v>24</v>
      </c>
      <c r="F393" s="2" t="s">
        <v>17</v>
      </c>
      <c r="G393" s="2" t="s">
        <v>18</v>
      </c>
      <c r="H393" s="2">
        <v>187</v>
      </c>
      <c r="I393" s="2">
        <v>51</v>
      </c>
      <c r="J393" s="2" t="s">
        <v>65</v>
      </c>
      <c r="K393" s="2" t="s">
        <v>65</v>
      </c>
      <c r="L393" s="2" t="s">
        <v>107</v>
      </c>
      <c r="M393" s="3">
        <v>44552</v>
      </c>
      <c r="N393" s="4">
        <f>Table1_3[[#This Row],[Admission_Date]]</f>
        <v>44552</v>
      </c>
      <c r="O393" s="5">
        <f>Table1_3[[#This Row],[Admission_Date]]</f>
        <v>44552</v>
      </c>
      <c r="P393" s="2">
        <v>20405.900000000001</v>
      </c>
      <c r="Q393" s="2">
        <f t="shared" si="6"/>
        <v>83</v>
      </c>
      <c r="R393" s="2" t="s">
        <v>36</v>
      </c>
      <c r="S393" s="2">
        <v>14.584346135148271</v>
      </c>
      <c r="T393" s="2" t="s">
        <v>2524</v>
      </c>
      <c r="U393" t="str">
        <f>INDEX(Table2[Doctor_Name],MATCH(Table1_3[[#This Row],[Department]],Table2[Department],0))</f>
        <v>Dr. Anita Sanchez</v>
      </c>
    </row>
    <row r="394" spans="1:21" x14ac:dyDescent="0.35">
      <c r="A394" s="2" t="s">
        <v>481</v>
      </c>
      <c r="B394" s="2" t="s">
        <v>482</v>
      </c>
      <c r="C394" s="2">
        <v>9</v>
      </c>
      <c r="D394" s="2" t="s">
        <v>138</v>
      </c>
      <c r="E394" s="2" t="s">
        <v>217</v>
      </c>
      <c r="F394" s="2" t="s">
        <v>79</v>
      </c>
      <c r="G394" s="2" t="s">
        <v>36</v>
      </c>
      <c r="H394" s="2">
        <v>183.1</v>
      </c>
      <c r="I394" s="2">
        <v>111</v>
      </c>
      <c r="J394" s="2" t="s">
        <v>19</v>
      </c>
      <c r="K394" s="2" t="s">
        <v>65</v>
      </c>
      <c r="L394" s="2" t="s">
        <v>2537</v>
      </c>
      <c r="M394" s="3">
        <v>44861</v>
      </c>
      <c r="N394" s="4">
        <f>Table1_3[[#This Row],[Admission_Date]]</f>
        <v>44861</v>
      </c>
      <c r="O394" s="5">
        <f>Table1_3[[#This Row],[Admission_Date]]</f>
        <v>44861</v>
      </c>
      <c r="P394" s="2">
        <v>34967.61</v>
      </c>
      <c r="Q394" s="2">
        <f t="shared" si="6"/>
        <v>30</v>
      </c>
      <c r="R394" s="2" t="s">
        <v>2521</v>
      </c>
      <c r="S394" s="2">
        <v>33.109017255763582</v>
      </c>
      <c r="T394" s="2" t="s">
        <v>2522</v>
      </c>
      <c r="U394" t="str">
        <f>INDEX(Table2[Doctor_Name],MATCH(Table1_3[[#This Row],[Department]],Table2[Department],0))</f>
        <v>Dr. Sunita Zhang</v>
      </c>
    </row>
    <row r="395" spans="1:21" x14ac:dyDescent="0.35">
      <c r="A395" s="2" t="s">
        <v>151</v>
      </c>
      <c r="B395" s="2" t="s">
        <v>152</v>
      </c>
      <c r="C395" s="2">
        <v>41</v>
      </c>
      <c r="D395" s="2" t="s">
        <v>138</v>
      </c>
      <c r="E395" s="2" t="s">
        <v>146</v>
      </c>
      <c r="F395" s="2" t="s">
        <v>36</v>
      </c>
      <c r="G395" s="2" t="s">
        <v>80</v>
      </c>
      <c r="H395" s="2">
        <v>162.19999999999999</v>
      </c>
      <c r="I395" s="2">
        <v>98</v>
      </c>
      <c r="J395" s="2" t="s">
        <v>19</v>
      </c>
      <c r="K395" s="2" t="s">
        <v>65</v>
      </c>
      <c r="L395" s="2" t="s">
        <v>55</v>
      </c>
      <c r="M395" s="3">
        <v>44224</v>
      </c>
      <c r="N395" s="4">
        <f>Table1_3[[#This Row],[Admission_Date]]</f>
        <v>44224</v>
      </c>
      <c r="O395" s="5">
        <f>Table1_3[[#This Row],[Admission_Date]]</f>
        <v>44224</v>
      </c>
      <c r="P395" s="2">
        <v>1550.06</v>
      </c>
      <c r="Q395" s="2">
        <f t="shared" si="6"/>
        <v>42</v>
      </c>
      <c r="R395" s="2" t="s">
        <v>2523</v>
      </c>
      <c r="S395" s="2">
        <v>37.249836936938316</v>
      </c>
      <c r="T395" s="2" t="s">
        <v>2522</v>
      </c>
      <c r="U395" t="str">
        <f>INDEX(Table2[Doctor_Name],MATCH(Table1_3[[#This Row],[Department]],Table2[Department],0))</f>
        <v>Dr. Sunita Sanchez</v>
      </c>
    </row>
    <row r="396" spans="1:21" x14ac:dyDescent="0.35">
      <c r="A396" s="2" t="s">
        <v>1380</v>
      </c>
      <c r="B396" s="2" t="s">
        <v>1381</v>
      </c>
      <c r="C396" s="2">
        <v>48</v>
      </c>
      <c r="D396" s="2" t="s">
        <v>138</v>
      </c>
      <c r="E396" s="2" t="s">
        <v>59</v>
      </c>
      <c r="F396" s="2" t="s">
        <v>2518</v>
      </c>
      <c r="G396" s="2" t="s">
        <v>208</v>
      </c>
      <c r="H396" s="2">
        <v>192.5</v>
      </c>
      <c r="I396" s="2">
        <v>93.8</v>
      </c>
      <c r="J396" s="2" t="s">
        <v>36</v>
      </c>
      <c r="K396" s="2" t="s">
        <v>65</v>
      </c>
      <c r="L396" s="2" t="s">
        <v>69</v>
      </c>
      <c r="M396" s="3">
        <v>44766</v>
      </c>
      <c r="N396" s="4">
        <f>Table1_3[[#This Row],[Admission_Date]]</f>
        <v>44766</v>
      </c>
      <c r="O396" s="5">
        <f>Table1_3[[#This Row],[Admission_Date]]</f>
        <v>44766</v>
      </c>
      <c r="P396" s="2">
        <v>32358.3</v>
      </c>
      <c r="Q396" s="2">
        <f t="shared" si="6"/>
        <v>107</v>
      </c>
      <c r="R396" s="2" t="s">
        <v>2523</v>
      </c>
      <c r="S396" s="2">
        <v>25.31286894923258</v>
      </c>
      <c r="T396" s="2" t="s">
        <v>2526</v>
      </c>
      <c r="U396" t="str">
        <f>INDEX(Table2[Doctor_Name],MATCH(Table1_3[[#This Row],[Department]],Table2[Department],0))</f>
        <v>Dr. Vikram Wang</v>
      </c>
    </row>
    <row r="397" spans="1:21" x14ac:dyDescent="0.35">
      <c r="A397" s="2" t="s">
        <v>585</v>
      </c>
      <c r="B397" s="2" t="s">
        <v>586</v>
      </c>
      <c r="C397" s="2">
        <v>94</v>
      </c>
      <c r="D397" s="2" t="s">
        <v>138</v>
      </c>
      <c r="E397" s="2" t="s">
        <v>24</v>
      </c>
      <c r="F397" s="2" t="s">
        <v>2517</v>
      </c>
      <c r="G397" s="2" t="s">
        <v>40</v>
      </c>
      <c r="H397" s="2">
        <v>156</v>
      </c>
      <c r="I397" s="2">
        <v>103</v>
      </c>
      <c r="J397" s="2" t="s">
        <v>36</v>
      </c>
      <c r="K397" s="2" t="s">
        <v>19</v>
      </c>
      <c r="L397" s="2" t="s">
        <v>175</v>
      </c>
      <c r="M397" s="3">
        <v>44855</v>
      </c>
      <c r="N397" s="4">
        <f>Table1_3[[#This Row],[Admission_Date]]</f>
        <v>44855</v>
      </c>
      <c r="O397" s="5">
        <f>Table1_3[[#This Row],[Admission_Date]]</f>
        <v>44855</v>
      </c>
      <c r="P397" s="2">
        <v>0</v>
      </c>
      <c r="Q397" s="2">
        <f t="shared" si="6"/>
        <v>38</v>
      </c>
      <c r="R397" s="2" t="s">
        <v>2525</v>
      </c>
      <c r="S397" s="2">
        <v>42.324128862590399</v>
      </c>
      <c r="T397" s="2" t="s">
        <v>2522</v>
      </c>
      <c r="U397" t="str">
        <f>INDEX(Table2[Doctor_Name],MATCH(Table1_3[[#This Row],[Department]],Table2[Department],0))</f>
        <v>Dr. Arvind Wilson</v>
      </c>
    </row>
    <row r="398" spans="1:21" x14ac:dyDescent="0.35">
      <c r="A398" s="2" t="s">
        <v>1099</v>
      </c>
      <c r="B398" s="2" t="s">
        <v>1100</v>
      </c>
      <c r="C398" s="2">
        <v>27</v>
      </c>
      <c r="D398" s="2" t="s">
        <v>29</v>
      </c>
      <c r="E398" s="2" t="s">
        <v>45</v>
      </c>
      <c r="F398" s="2" t="s">
        <v>120</v>
      </c>
      <c r="G398" s="2" t="s">
        <v>74</v>
      </c>
      <c r="H398" s="2">
        <v>166.3</v>
      </c>
      <c r="I398" s="2">
        <v>47</v>
      </c>
      <c r="J398" s="2" t="s">
        <v>19</v>
      </c>
      <c r="K398" s="2" t="s">
        <v>19</v>
      </c>
      <c r="L398" s="2" t="s">
        <v>55</v>
      </c>
      <c r="M398" s="3">
        <v>44601</v>
      </c>
      <c r="N398" s="4">
        <f>Table1_3[[#This Row],[Admission_Date]]</f>
        <v>44601</v>
      </c>
      <c r="O398" s="5">
        <f>Table1_3[[#This Row],[Admission_Date]]</f>
        <v>44601</v>
      </c>
      <c r="P398" s="2">
        <v>21488.83</v>
      </c>
      <c r="Q398" s="2">
        <f t="shared" si="6"/>
        <v>42</v>
      </c>
      <c r="R398" s="2" t="s">
        <v>2523</v>
      </c>
      <c r="S398" s="2">
        <v>16.994694401043692</v>
      </c>
      <c r="T398" s="2" t="s">
        <v>2524</v>
      </c>
      <c r="U398" t="str">
        <f>INDEX(Table2[Doctor_Name],MATCH(Table1_3[[#This Row],[Department]],Table2[Department],0))</f>
        <v>Dr. Sunita Sanchez</v>
      </c>
    </row>
    <row r="399" spans="1:21" x14ac:dyDescent="0.35">
      <c r="A399" s="2" t="s">
        <v>1248</v>
      </c>
      <c r="B399" s="2" t="s">
        <v>1249</v>
      </c>
      <c r="C399" s="2">
        <v>11</v>
      </c>
      <c r="D399" s="2" t="s">
        <v>138</v>
      </c>
      <c r="E399" s="2" t="s">
        <v>45</v>
      </c>
      <c r="F399" s="2" t="s">
        <v>2518</v>
      </c>
      <c r="G399" s="2" t="s">
        <v>90</v>
      </c>
      <c r="H399" s="2">
        <v>184</v>
      </c>
      <c r="I399" s="2">
        <v>113.8</v>
      </c>
      <c r="J399" s="2" t="s">
        <v>19</v>
      </c>
      <c r="K399" s="2" t="s">
        <v>19</v>
      </c>
      <c r="L399" s="2" t="s">
        <v>103</v>
      </c>
      <c r="M399" s="3">
        <v>44367</v>
      </c>
      <c r="N399" s="4">
        <f>Table1_3[[#This Row],[Admission_Date]]</f>
        <v>44367</v>
      </c>
      <c r="O399" s="5">
        <f>Table1_3[[#This Row],[Admission_Date]]</f>
        <v>44367</v>
      </c>
      <c r="P399" s="2">
        <v>29961.58</v>
      </c>
      <c r="Q399" s="2">
        <f t="shared" si="6"/>
        <v>31</v>
      </c>
      <c r="R399" s="2" t="s">
        <v>2521</v>
      </c>
      <c r="S399" s="2">
        <v>33.612948960302454</v>
      </c>
      <c r="T399" s="2" t="s">
        <v>2522</v>
      </c>
      <c r="U399" t="str">
        <f>INDEX(Table2[Doctor_Name],MATCH(Table1_3[[#This Row],[Department]],Table2[Department],0))</f>
        <v>Dr. Suresh Johnson</v>
      </c>
    </row>
    <row r="400" spans="1:21" x14ac:dyDescent="0.35">
      <c r="A400" s="2" t="s">
        <v>1058</v>
      </c>
      <c r="B400" s="2" t="s">
        <v>1059</v>
      </c>
      <c r="C400" s="2">
        <v>78</v>
      </c>
      <c r="D400" s="2" t="s">
        <v>138</v>
      </c>
      <c r="E400" s="2" t="s">
        <v>45</v>
      </c>
      <c r="F400" s="2" t="s">
        <v>17</v>
      </c>
      <c r="G400" s="2" t="s">
        <v>208</v>
      </c>
      <c r="H400" s="2">
        <v>146</v>
      </c>
      <c r="I400" s="2" t="s">
        <v>2519</v>
      </c>
      <c r="J400" s="2" t="s">
        <v>19</v>
      </c>
      <c r="K400" s="2" t="s">
        <v>36</v>
      </c>
      <c r="L400" s="2" t="s">
        <v>55</v>
      </c>
      <c r="M400" s="3">
        <v>45079</v>
      </c>
      <c r="N400" s="4">
        <f>Table1_3[[#This Row],[Admission_Date]]</f>
        <v>45079</v>
      </c>
      <c r="O400" s="5">
        <f>Table1_3[[#This Row],[Admission_Date]]</f>
        <v>45079</v>
      </c>
      <c r="P400" s="2">
        <v>20525.490000000002</v>
      </c>
      <c r="Q400" s="2">
        <f t="shared" si="6"/>
        <v>42</v>
      </c>
      <c r="R400" s="2" t="s">
        <v>2525</v>
      </c>
      <c r="S400" s="2" t="s">
        <v>36</v>
      </c>
      <c r="T400" s="2" t="s">
        <v>36</v>
      </c>
      <c r="U400" t="str">
        <f>INDEX(Table2[Doctor_Name],MATCH(Table1_3[[#This Row],[Department]],Table2[Department],0))</f>
        <v>Dr. Sunita Sanchez</v>
      </c>
    </row>
    <row r="401" spans="1:21" x14ac:dyDescent="0.35">
      <c r="A401" s="2" t="s">
        <v>954</v>
      </c>
      <c r="B401" s="2" t="s">
        <v>955</v>
      </c>
      <c r="C401" s="2">
        <v>10</v>
      </c>
      <c r="D401" s="2" t="s">
        <v>29</v>
      </c>
      <c r="E401" s="2" t="s">
        <v>146</v>
      </c>
      <c r="F401" s="2" t="s">
        <v>134</v>
      </c>
      <c r="G401" s="2" t="s">
        <v>102</v>
      </c>
      <c r="H401" s="2">
        <v>157</v>
      </c>
      <c r="I401" s="2">
        <v>109.4</v>
      </c>
      <c r="J401" s="2" t="s">
        <v>19</v>
      </c>
      <c r="K401" s="2" t="s">
        <v>36</v>
      </c>
      <c r="L401" s="2" t="s">
        <v>31</v>
      </c>
      <c r="M401" s="3">
        <v>44951</v>
      </c>
      <c r="N401" s="4">
        <f>Table1_3[[#This Row],[Admission_Date]]</f>
        <v>44951</v>
      </c>
      <c r="O401" s="5">
        <f>Table1_3[[#This Row],[Admission_Date]]</f>
        <v>44951</v>
      </c>
      <c r="P401" s="2">
        <v>3356.38</v>
      </c>
      <c r="Q401" s="2">
        <f t="shared" si="6"/>
        <v>37</v>
      </c>
      <c r="R401" s="2" t="s">
        <v>2521</v>
      </c>
      <c r="S401" s="2">
        <v>44.383139275426998</v>
      </c>
      <c r="T401" s="2" t="s">
        <v>2522</v>
      </c>
      <c r="U401" t="str">
        <f>INDEX(Table2[Doctor_Name],MATCH(Table1_3[[#This Row],[Department]],Table2[Department],0))</f>
        <v>Dr. Arvind Chen</v>
      </c>
    </row>
    <row r="402" spans="1:21" x14ac:dyDescent="0.35">
      <c r="A402" s="2" t="s">
        <v>1082</v>
      </c>
      <c r="B402" s="2" t="s">
        <v>1083</v>
      </c>
      <c r="C402" s="2">
        <v>91</v>
      </c>
      <c r="D402" s="2" t="s">
        <v>29</v>
      </c>
      <c r="E402" s="2" t="s">
        <v>24</v>
      </c>
      <c r="F402" s="2" t="s">
        <v>17</v>
      </c>
      <c r="G402" s="2" t="s">
        <v>417</v>
      </c>
      <c r="H402" s="2">
        <v>175.4</v>
      </c>
      <c r="I402" s="2">
        <v>94</v>
      </c>
      <c r="J402" s="2" t="s">
        <v>19</v>
      </c>
      <c r="K402" s="2" t="s">
        <v>65</v>
      </c>
      <c r="L402" s="2" t="s">
        <v>42</v>
      </c>
      <c r="M402" s="3">
        <v>44386</v>
      </c>
      <c r="N402" s="4">
        <f>Table1_3[[#This Row],[Admission_Date]]</f>
        <v>44386</v>
      </c>
      <c r="O402" s="5">
        <f>Table1_3[[#This Row],[Admission_Date]]</f>
        <v>44386</v>
      </c>
      <c r="P402" s="2">
        <v>35724.67</v>
      </c>
      <c r="Q402" s="2">
        <f t="shared" si="6"/>
        <v>45</v>
      </c>
      <c r="R402" s="2" t="s">
        <v>2525</v>
      </c>
      <c r="S402" s="2">
        <v>30.554042299796265</v>
      </c>
      <c r="T402" s="2" t="s">
        <v>2522</v>
      </c>
      <c r="U402" t="str">
        <f>INDEX(Table2[Doctor_Name],MATCH(Table1_3[[#This Row],[Department]],Table2[Department],0))</f>
        <v>Dr. Rahul Nair</v>
      </c>
    </row>
    <row r="403" spans="1:21" x14ac:dyDescent="0.35">
      <c r="A403" s="2" t="s">
        <v>1067</v>
      </c>
      <c r="B403" s="2" t="s">
        <v>1068</v>
      </c>
      <c r="C403" s="2">
        <v>22</v>
      </c>
      <c r="D403" s="2" t="s">
        <v>138</v>
      </c>
      <c r="E403" s="2" t="s">
        <v>217</v>
      </c>
      <c r="F403" s="2" t="s">
        <v>273</v>
      </c>
      <c r="G403" s="2" t="s">
        <v>25</v>
      </c>
      <c r="H403" s="2">
        <v>166</v>
      </c>
      <c r="I403" s="2">
        <v>106</v>
      </c>
      <c r="J403" s="2" t="s">
        <v>65</v>
      </c>
      <c r="K403" s="2" t="s">
        <v>36</v>
      </c>
      <c r="L403" s="2" t="s">
        <v>2537</v>
      </c>
      <c r="M403" s="3">
        <v>44902</v>
      </c>
      <c r="N403" s="4">
        <f>Table1_3[[#This Row],[Admission_Date]]</f>
        <v>44902</v>
      </c>
      <c r="O403" s="5">
        <f>Table1_3[[#This Row],[Admission_Date]]</f>
        <v>44902</v>
      </c>
      <c r="P403" s="2">
        <v>13816.56</v>
      </c>
      <c r="Q403" s="2">
        <f t="shared" si="6"/>
        <v>30</v>
      </c>
      <c r="R403" s="2" t="s">
        <v>2527</v>
      </c>
      <c r="S403" s="2">
        <v>38.467121498040356</v>
      </c>
      <c r="T403" s="2" t="s">
        <v>2522</v>
      </c>
      <c r="U403" t="str">
        <f>INDEX(Table2[Doctor_Name],MATCH(Table1_3[[#This Row],[Department]],Table2[Department],0))</f>
        <v>Dr. Sunita Zhang</v>
      </c>
    </row>
    <row r="404" spans="1:21" x14ac:dyDescent="0.35">
      <c r="A404" s="2" t="s">
        <v>751</v>
      </c>
      <c r="B404" s="2" t="s">
        <v>752</v>
      </c>
      <c r="C404" s="2" t="s">
        <v>2519</v>
      </c>
      <c r="D404" s="2" t="s">
        <v>138</v>
      </c>
      <c r="E404" s="2" t="s">
        <v>130</v>
      </c>
      <c r="F404" s="2" t="s">
        <v>36</v>
      </c>
      <c r="G404" s="2" t="s">
        <v>160</v>
      </c>
      <c r="H404" s="2">
        <v>180</v>
      </c>
      <c r="I404" s="2">
        <v>74</v>
      </c>
      <c r="J404" s="2" t="s">
        <v>65</v>
      </c>
      <c r="K404" s="2" t="s">
        <v>65</v>
      </c>
      <c r="L404" s="2" t="s">
        <v>69</v>
      </c>
      <c r="M404" s="3">
        <v>45226</v>
      </c>
      <c r="N404" s="4">
        <f>Table1_3[[#This Row],[Admission_Date]]</f>
        <v>45226</v>
      </c>
      <c r="O404" s="5">
        <f>Table1_3[[#This Row],[Admission_Date]]</f>
        <v>45226</v>
      </c>
      <c r="P404" s="2">
        <v>22807.71</v>
      </c>
      <c r="Q404" s="2">
        <f t="shared" si="6"/>
        <v>107</v>
      </c>
      <c r="R404" s="2" t="s">
        <v>36</v>
      </c>
      <c r="S404" s="2">
        <v>22.839506172839506</v>
      </c>
      <c r="T404" s="2" t="s">
        <v>1567</v>
      </c>
      <c r="U404" t="str">
        <f>INDEX(Table2[Doctor_Name],MATCH(Table1_3[[#This Row],[Department]],Table2[Department],0))</f>
        <v>Dr. Vikram Wang</v>
      </c>
    </row>
    <row r="405" spans="1:21" x14ac:dyDescent="0.35">
      <c r="A405" s="2" t="s">
        <v>1105</v>
      </c>
      <c r="B405" s="2" t="s">
        <v>1106</v>
      </c>
      <c r="C405" s="2">
        <v>53</v>
      </c>
      <c r="D405" s="2" t="s">
        <v>138</v>
      </c>
      <c r="E405" s="2" t="s">
        <v>24</v>
      </c>
      <c r="F405" s="2" t="s">
        <v>134</v>
      </c>
      <c r="G405" s="2" t="s">
        <v>35</v>
      </c>
      <c r="H405" s="2">
        <v>148.9</v>
      </c>
      <c r="I405" s="2">
        <v>64.900000000000006</v>
      </c>
      <c r="J405" s="2" t="s">
        <v>19</v>
      </c>
      <c r="K405" s="2" t="s">
        <v>65</v>
      </c>
      <c r="L405" s="2" t="s">
        <v>226</v>
      </c>
      <c r="M405" s="3">
        <v>45086</v>
      </c>
      <c r="N405" s="4">
        <f>Table1_3[[#This Row],[Admission_Date]]</f>
        <v>45086</v>
      </c>
      <c r="O405" s="5">
        <f>Table1_3[[#This Row],[Admission_Date]]</f>
        <v>45086</v>
      </c>
      <c r="P405" s="2">
        <v>33803.83</v>
      </c>
      <c r="Q405" s="2">
        <f t="shared" si="6"/>
        <v>35</v>
      </c>
      <c r="R405" s="2" t="s">
        <v>2523</v>
      </c>
      <c r="S405" s="2">
        <v>29.27219578904354</v>
      </c>
      <c r="T405" s="2" t="s">
        <v>2526</v>
      </c>
      <c r="U405" t="str">
        <f>INDEX(Table2[Doctor_Name],MATCH(Table1_3[[#This Row],[Department]],Table2[Department],0))</f>
        <v>Dr. Vikram Khan</v>
      </c>
    </row>
    <row r="406" spans="1:21" x14ac:dyDescent="0.35">
      <c r="A406" s="2" t="s">
        <v>186</v>
      </c>
      <c r="B406" s="2" t="s">
        <v>187</v>
      </c>
      <c r="C406" s="2" t="s">
        <v>2519</v>
      </c>
      <c r="D406" s="2" t="s">
        <v>52</v>
      </c>
      <c r="E406" s="2" t="s">
        <v>24</v>
      </c>
      <c r="F406" s="2" t="s">
        <v>2518</v>
      </c>
      <c r="G406" s="2" t="s">
        <v>124</v>
      </c>
      <c r="H406" s="2">
        <v>152</v>
      </c>
      <c r="I406" s="2">
        <v>82.6</v>
      </c>
      <c r="J406" s="2" t="s">
        <v>36</v>
      </c>
      <c r="K406" s="2" t="s">
        <v>19</v>
      </c>
      <c r="L406" s="2" t="s">
        <v>107</v>
      </c>
      <c r="M406" s="3">
        <v>44956</v>
      </c>
      <c r="N406" s="4">
        <f>Table1_3[[#This Row],[Admission_Date]]</f>
        <v>44956</v>
      </c>
      <c r="O406" s="5">
        <f>Table1_3[[#This Row],[Admission_Date]]</f>
        <v>44956</v>
      </c>
      <c r="P406" s="2">
        <v>44562.53</v>
      </c>
      <c r="Q406" s="2">
        <f t="shared" si="6"/>
        <v>60</v>
      </c>
      <c r="R406" s="2" t="s">
        <v>36</v>
      </c>
      <c r="S406" s="2">
        <v>35.751385041551245</v>
      </c>
      <c r="T406" s="2" t="s">
        <v>2522</v>
      </c>
      <c r="U406" t="str">
        <f>INDEX(Table2[Doctor_Name],MATCH(Table1_3[[#This Row],[Department]],Table2[Department],0))</f>
        <v>Dr. Anita Sanchez</v>
      </c>
    </row>
    <row r="407" spans="1:21" x14ac:dyDescent="0.35">
      <c r="A407" s="2" t="s">
        <v>1376</v>
      </c>
      <c r="B407" s="2" t="s">
        <v>1186</v>
      </c>
      <c r="C407" s="2">
        <v>46</v>
      </c>
      <c r="D407" s="2" t="s">
        <v>138</v>
      </c>
      <c r="E407" s="2" t="s">
        <v>24</v>
      </c>
      <c r="F407" s="2" t="s">
        <v>134</v>
      </c>
      <c r="G407" s="2" t="s">
        <v>35</v>
      </c>
      <c r="H407" s="2">
        <v>159</v>
      </c>
      <c r="I407" s="2" t="s">
        <v>2519</v>
      </c>
      <c r="J407" s="2" t="s">
        <v>65</v>
      </c>
      <c r="K407" s="2" t="s">
        <v>19</v>
      </c>
      <c r="L407" s="2" t="s">
        <v>107</v>
      </c>
      <c r="M407" s="3">
        <v>44706</v>
      </c>
      <c r="N407" s="4">
        <f>Table1_3[[#This Row],[Admission_Date]]</f>
        <v>44706</v>
      </c>
      <c r="O407" s="5">
        <f>Table1_3[[#This Row],[Admission_Date]]</f>
        <v>44706</v>
      </c>
      <c r="P407" s="2">
        <v>22869.94</v>
      </c>
      <c r="Q407" s="2">
        <f t="shared" si="6"/>
        <v>83</v>
      </c>
      <c r="R407" s="2" t="s">
        <v>2523</v>
      </c>
      <c r="S407" s="2" t="s">
        <v>36</v>
      </c>
      <c r="T407" s="2" t="s">
        <v>36</v>
      </c>
      <c r="U407" t="str">
        <f>INDEX(Table2[Doctor_Name],MATCH(Table1_3[[#This Row],[Department]],Table2[Department],0))</f>
        <v>Dr. Anita Sanchez</v>
      </c>
    </row>
    <row r="408" spans="1:21" x14ac:dyDescent="0.35">
      <c r="A408" s="2" t="s">
        <v>28</v>
      </c>
      <c r="B408" s="2" t="s">
        <v>2404</v>
      </c>
      <c r="C408" s="2">
        <v>42</v>
      </c>
      <c r="D408" s="2" t="s">
        <v>29</v>
      </c>
      <c r="E408" s="2" t="s">
        <v>24</v>
      </c>
      <c r="F408" s="2" t="s">
        <v>17</v>
      </c>
      <c r="G408" s="2" t="s">
        <v>35</v>
      </c>
      <c r="H408" s="2">
        <v>188</v>
      </c>
      <c r="I408" s="2">
        <v>69.3</v>
      </c>
      <c r="J408" s="2" t="s">
        <v>65</v>
      </c>
      <c r="K408" s="2" t="s">
        <v>65</v>
      </c>
      <c r="L408" s="2" t="s">
        <v>31</v>
      </c>
      <c r="M408" s="3">
        <v>45016</v>
      </c>
      <c r="N408" s="4">
        <f>Table1_3[[#This Row],[Admission_Date]]</f>
        <v>45016</v>
      </c>
      <c r="O408" s="5">
        <f>Table1_3[[#This Row],[Admission_Date]]</f>
        <v>45016</v>
      </c>
      <c r="P408" s="2">
        <v>30823.32</v>
      </c>
      <c r="Q408" s="2">
        <f t="shared" si="6"/>
        <v>37</v>
      </c>
      <c r="R408" s="2" t="s">
        <v>2523</v>
      </c>
      <c r="S408" s="2">
        <v>19.60728836577637</v>
      </c>
      <c r="T408" s="2" t="s">
        <v>1567</v>
      </c>
      <c r="U408" t="str">
        <f>INDEX(Table2[Doctor_Name],MATCH(Table1_3[[#This Row],[Department]],Table2[Department],0))</f>
        <v>Dr. Arvind Chen</v>
      </c>
    </row>
    <row r="409" spans="1:21" x14ac:dyDescent="0.35">
      <c r="A409" s="2" t="s">
        <v>173</v>
      </c>
      <c r="B409" s="2" t="s">
        <v>174</v>
      </c>
      <c r="C409" s="2">
        <v>25</v>
      </c>
      <c r="D409" s="2" t="s">
        <v>138</v>
      </c>
      <c r="E409" s="2" t="s">
        <v>89</v>
      </c>
      <c r="F409" s="2" t="s">
        <v>141</v>
      </c>
      <c r="G409" s="2" t="s">
        <v>208</v>
      </c>
      <c r="H409" s="2">
        <v>193.1</v>
      </c>
      <c r="I409" s="2">
        <v>80</v>
      </c>
      <c r="J409" s="2" t="s">
        <v>65</v>
      </c>
      <c r="K409" s="2" t="s">
        <v>36</v>
      </c>
      <c r="L409" s="2" t="s">
        <v>175</v>
      </c>
      <c r="M409" s="3">
        <v>44690</v>
      </c>
      <c r="N409" s="4">
        <f>Table1_3[[#This Row],[Admission_Date]]</f>
        <v>44690</v>
      </c>
      <c r="O409" s="5">
        <f>Table1_3[[#This Row],[Admission_Date]]</f>
        <v>44690</v>
      </c>
      <c r="P409" s="2">
        <v>10976.22</v>
      </c>
      <c r="Q409" s="2">
        <f t="shared" si="6"/>
        <v>38</v>
      </c>
      <c r="R409" s="2" t="s">
        <v>2527</v>
      </c>
      <c r="S409" s="2">
        <v>21.454847870378391</v>
      </c>
      <c r="T409" s="2" t="s">
        <v>1567</v>
      </c>
      <c r="U409" t="str">
        <f>INDEX(Table2[Doctor_Name],MATCH(Table1_3[[#This Row],[Department]],Table2[Department],0))</f>
        <v>Dr. Arvind Wilson</v>
      </c>
    </row>
    <row r="410" spans="1:21" x14ac:dyDescent="0.35">
      <c r="A410" s="2" t="s">
        <v>1168</v>
      </c>
      <c r="B410" s="2" t="s">
        <v>1192</v>
      </c>
      <c r="C410" s="2">
        <v>50</v>
      </c>
      <c r="D410" s="2" t="s">
        <v>29</v>
      </c>
      <c r="E410" s="2" t="s">
        <v>53</v>
      </c>
      <c r="F410" s="2" t="s">
        <v>2517</v>
      </c>
      <c r="G410" s="2" t="s">
        <v>295</v>
      </c>
      <c r="H410" s="2">
        <v>178.9</v>
      </c>
      <c r="I410" s="2">
        <v>123</v>
      </c>
      <c r="J410" s="2" t="s">
        <v>65</v>
      </c>
      <c r="K410" s="2" t="s">
        <v>36</v>
      </c>
      <c r="L410" s="2" t="s">
        <v>107</v>
      </c>
      <c r="M410" s="3">
        <v>44655</v>
      </c>
      <c r="N410" s="4">
        <f>Table1_3[[#This Row],[Admission_Date]]</f>
        <v>44655</v>
      </c>
      <c r="O410" s="5">
        <f>Table1_3[[#This Row],[Admission_Date]]</f>
        <v>44655</v>
      </c>
      <c r="P410" s="2">
        <v>38433.699999999997</v>
      </c>
      <c r="Q410" s="2">
        <f t="shared" si="6"/>
        <v>83</v>
      </c>
      <c r="R410" s="2" t="s">
        <v>2523</v>
      </c>
      <c r="S410" s="2">
        <v>38.431242913263176</v>
      </c>
      <c r="T410" s="2" t="s">
        <v>2522</v>
      </c>
      <c r="U410" t="str">
        <f>INDEX(Table2[Doctor_Name],MATCH(Table1_3[[#This Row],[Department]],Table2[Department],0))</f>
        <v>Dr. Anita Sanchez</v>
      </c>
    </row>
    <row r="411" spans="1:21" x14ac:dyDescent="0.35">
      <c r="A411" s="2" t="s">
        <v>1188</v>
      </c>
      <c r="B411" s="2" t="s">
        <v>1189</v>
      </c>
      <c r="C411" s="2">
        <v>56</v>
      </c>
      <c r="D411" s="2" t="s">
        <v>29</v>
      </c>
      <c r="E411" s="2" t="s">
        <v>130</v>
      </c>
      <c r="F411" s="2" t="s">
        <v>2517</v>
      </c>
      <c r="G411" s="2" t="s">
        <v>417</v>
      </c>
      <c r="H411" s="2">
        <v>157.19999999999999</v>
      </c>
      <c r="I411" s="2">
        <v>93</v>
      </c>
      <c r="J411" s="2" t="s">
        <v>36</v>
      </c>
      <c r="K411" s="2" t="s">
        <v>65</v>
      </c>
      <c r="L411" s="2" t="s">
        <v>2537</v>
      </c>
      <c r="M411" s="3">
        <v>44950</v>
      </c>
      <c r="N411" s="4">
        <f>Table1_3[[#This Row],[Admission_Date]]</f>
        <v>44950</v>
      </c>
      <c r="O411" s="5">
        <f>Table1_3[[#This Row],[Admission_Date]]</f>
        <v>44950</v>
      </c>
      <c r="P411" s="2">
        <v>42739.85</v>
      </c>
      <c r="Q411" s="2">
        <f t="shared" si="6"/>
        <v>30</v>
      </c>
      <c r="R411" s="2" t="s">
        <v>2523</v>
      </c>
      <c r="S411" s="2">
        <v>37.633782025134515</v>
      </c>
      <c r="T411" s="2" t="s">
        <v>2522</v>
      </c>
      <c r="U411" t="str">
        <f>INDEX(Table2[Doctor_Name],MATCH(Table1_3[[#This Row],[Department]],Table2[Department],0))</f>
        <v>Dr. Sunita Zhang</v>
      </c>
    </row>
    <row r="412" spans="1:21" x14ac:dyDescent="0.35">
      <c r="A412" s="2" t="s">
        <v>732</v>
      </c>
      <c r="B412" s="2" t="s">
        <v>733</v>
      </c>
      <c r="C412" s="2">
        <v>89</v>
      </c>
      <c r="D412" s="2" t="s">
        <v>138</v>
      </c>
      <c r="E412" s="2" t="s">
        <v>53</v>
      </c>
      <c r="F412" s="2" t="s">
        <v>36</v>
      </c>
      <c r="G412" s="2" t="s">
        <v>54</v>
      </c>
      <c r="H412" s="2">
        <v>167</v>
      </c>
      <c r="I412" s="2" t="s">
        <v>2519</v>
      </c>
      <c r="J412" s="2" t="s">
        <v>19</v>
      </c>
      <c r="K412" s="2" t="s">
        <v>36</v>
      </c>
      <c r="L412" s="2" t="s">
        <v>226</v>
      </c>
      <c r="M412" s="3">
        <v>44657</v>
      </c>
      <c r="N412" s="4">
        <f>Table1_3[[#This Row],[Admission_Date]]</f>
        <v>44657</v>
      </c>
      <c r="O412" s="5">
        <f>Table1_3[[#This Row],[Admission_Date]]</f>
        <v>44657</v>
      </c>
      <c r="P412" s="2">
        <v>36918.42</v>
      </c>
      <c r="Q412" s="2">
        <f t="shared" si="6"/>
        <v>35</v>
      </c>
      <c r="R412" s="2" t="s">
        <v>2525</v>
      </c>
      <c r="S412" s="2" t="s">
        <v>36</v>
      </c>
      <c r="T412" s="2" t="s">
        <v>36</v>
      </c>
      <c r="U412" t="str">
        <f>INDEX(Table2[Doctor_Name],MATCH(Table1_3[[#This Row],[Department]],Table2[Department],0))</f>
        <v>Dr. Vikram Khan</v>
      </c>
    </row>
    <row r="413" spans="1:21" x14ac:dyDescent="0.35">
      <c r="A413" s="2" t="s">
        <v>82</v>
      </c>
      <c r="B413" s="2" t="s">
        <v>83</v>
      </c>
      <c r="C413" s="2">
        <v>21</v>
      </c>
      <c r="D413" s="2" t="s">
        <v>29</v>
      </c>
      <c r="E413" s="2" t="s">
        <v>84</v>
      </c>
      <c r="F413" s="2" t="s">
        <v>2518</v>
      </c>
      <c r="G413" s="2" t="s">
        <v>102</v>
      </c>
      <c r="H413" s="2">
        <v>181.1</v>
      </c>
      <c r="I413" s="2">
        <v>75.2</v>
      </c>
      <c r="J413" s="2" t="s">
        <v>19</v>
      </c>
      <c r="K413" s="2" t="s">
        <v>36</v>
      </c>
      <c r="L413" s="2" t="s">
        <v>86</v>
      </c>
      <c r="M413" s="3">
        <v>44596</v>
      </c>
      <c r="N413" s="4">
        <f>Table1_3[[#This Row],[Admission_Date]]</f>
        <v>44596</v>
      </c>
      <c r="O413" s="5">
        <f>Table1_3[[#This Row],[Admission_Date]]</f>
        <v>44596</v>
      </c>
      <c r="P413" s="2">
        <v>42884.480000000003</v>
      </c>
      <c r="Q413" s="2">
        <f t="shared" si="6"/>
        <v>35</v>
      </c>
      <c r="R413" s="2" t="s">
        <v>2527</v>
      </c>
      <c r="S413" s="2">
        <v>22.928779612656079</v>
      </c>
      <c r="T413" s="2" t="s">
        <v>1567</v>
      </c>
      <c r="U413" t="str">
        <f>INDEX(Table2[Doctor_Name],MATCH(Table1_3[[#This Row],[Department]],Table2[Department],0))</f>
        <v>Dr. Meera Torres</v>
      </c>
    </row>
    <row r="414" spans="1:21" x14ac:dyDescent="0.35">
      <c r="A414" s="2" t="s">
        <v>972</v>
      </c>
      <c r="B414" s="2" t="s">
        <v>973</v>
      </c>
      <c r="C414" s="2">
        <v>59</v>
      </c>
      <c r="D414" s="2" t="s">
        <v>29</v>
      </c>
      <c r="E414" s="2" t="s">
        <v>73</v>
      </c>
      <c r="F414" s="2" t="s">
        <v>17</v>
      </c>
      <c r="G414" s="2" t="s">
        <v>60</v>
      </c>
      <c r="H414" s="2">
        <v>185</v>
      </c>
      <c r="I414" s="2">
        <v>112</v>
      </c>
      <c r="J414" s="2" t="s">
        <v>36</v>
      </c>
      <c r="K414" s="2" t="s">
        <v>36</v>
      </c>
      <c r="L414" s="2" t="s">
        <v>69</v>
      </c>
      <c r="M414" s="3">
        <v>44938</v>
      </c>
      <c r="N414" s="4">
        <f>Table1_3[[#This Row],[Admission_Date]]</f>
        <v>44938</v>
      </c>
      <c r="O414" s="5">
        <f>Table1_3[[#This Row],[Admission_Date]]</f>
        <v>44938</v>
      </c>
      <c r="P414" s="2">
        <v>42878.99</v>
      </c>
      <c r="Q414" s="2">
        <f t="shared" si="6"/>
        <v>107</v>
      </c>
      <c r="R414" s="2" t="s">
        <v>2523</v>
      </c>
      <c r="S414" s="2">
        <v>32.724616508400288</v>
      </c>
      <c r="T414" s="2" t="s">
        <v>2522</v>
      </c>
      <c r="U414" t="str">
        <f>INDEX(Table2[Doctor_Name],MATCH(Table1_3[[#This Row],[Department]],Table2[Department],0))</f>
        <v>Dr. Vikram Wang</v>
      </c>
    </row>
    <row r="415" spans="1:21" x14ac:dyDescent="0.35">
      <c r="A415" s="2" t="s">
        <v>1477</v>
      </c>
      <c r="B415" s="2" t="s">
        <v>1478</v>
      </c>
      <c r="C415" s="2">
        <v>8</v>
      </c>
      <c r="D415" s="2" t="s">
        <v>138</v>
      </c>
      <c r="E415" s="2" t="s">
        <v>146</v>
      </c>
      <c r="F415" s="2" t="s">
        <v>36</v>
      </c>
      <c r="G415" s="2" t="s">
        <v>90</v>
      </c>
      <c r="H415" s="2">
        <v>150.9</v>
      </c>
      <c r="I415" s="2">
        <v>127.3</v>
      </c>
      <c r="J415" s="2" t="s">
        <v>65</v>
      </c>
      <c r="K415" s="2" t="s">
        <v>19</v>
      </c>
      <c r="L415" s="2" t="s">
        <v>69</v>
      </c>
      <c r="M415" s="3">
        <v>44809</v>
      </c>
      <c r="N415" s="4">
        <f>Table1_3[[#This Row],[Admission_Date]]</f>
        <v>44809</v>
      </c>
      <c r="O415" s="5">
        <f>Table1_3[[#This Row],[Admission_Date]]</f>
        <v>44809</v>
      </c>
      <c r="P415" s="2">
        <v>24686.98</v>
      </c>
      <c r="Q415" s="2">
        <f t="shared" si="6"/>
        <v>107</v>
      </c>
      <c r="R415" s="2" t="s">
        <v>2521</v>
      </c>
      <c r="S415" s="2">
        <v>55.90490632524709</v>
      </c>
      <c r="T415" s="2" t="s">
        <v>2522</v>
      </c>
      <c r="U415" t="str">
        <f>INDEX(Table2[Doctor_Name],MATCH(Table1_3[[#This Row],[Department]],Table2[Department],0))</f>
        <v>Dr. Vikram Wang</v>
      </c>
    </row>
    <row r="416" spans="1:21" x14ac:dyDescent="0.35">
      <c r="A416" s="2" t="s">
        <v>987</v>
      </c>
      <c r="B416" s="2" t="s">
        <v>736</v>
      </c>
      <c r="C416" s="2">
        <v>84</v>
      </c>
      <c r="D416" s="2" t="s">
        <v>29</v>
      </c>
      <c r="E416" s="2" t="s">
        <v>53</v>
      </c>
      <c r="F416" s="2" t="s">
        <v>2517</v>
      </c>
      <c r="G416" s="2" t="s">
        <v>102</v>
      </c>
      <c r="H416" s="2">
        <v>165</v>
      </c>
      <c r="I416" s="2">
        <v>51</v>
      </c>
      <c r="J416" s="2" t="s">
        <v>19</v>
      </c>
      <c r="K416" s="2" t="s">
        <v>65</v>
      </c>
      <c r="L416" s="2" t="s">
        <v>2537</v>
      </c>
      <c r="M416" s="3">
        <v>45208</v>
      </c>
      <c r="N416" s="4">
        <f>Table1_3[[#This Row],[Admission_Date]]</f>
        <v>45208</v>
      </c>
      <c r="O416" s="5">
        <f>Table1_3[[#This Row],[Admission_Date]]</f>
        <v>45208</v>
      </c>
      <c r="P416" s="2">
        <v>34839.43</v>
      </c>
      <c r="Q416" s="2">
        <f t="shared" si="6"/>
        <v>30</v>
      </c>
      <c r="R416" s="2" t="s">
        <v>2525</v>
      </c>
      <c r="S416" s="2">
        <v>18.732782369146008</v>
      </c>
      <c r="T416" s="2" t="s">
        <v>1567</v>
      </c>
      <c r="U416" t="str">
        <f>INDEX(Table2[Doctor_Name],MATCH(Table1_3[[#This Row],[Department]],Table2[Department],0))</f>
        <v>Dr. Sunita Zhang</v>
      </c>
    </row>
    <row r="417" spans="1:21" x14ac:dyDescent="0.35">
      <c r="A417" s="2" t="s">
        <v>1120</v>
      </c>
      <c r="B417" s="2" t="s">
        <v>1121</v>
      </c>
      <c r="C417" s="2">
        <v>42</v>
      </c>
      <c r="D417" s="2" t="s">
        <v>138</v>
      </c>
      <c r="E417" s="2" t="s">
        <v>89</v>
      </c>
      <c r="F417" s="2" t="s">
        <v>120</v>
      </c>
      <c r="G417" s="2" t="s">
        <v>102</v>
      </c>
      <c r="H417" s="2">
        <v>193</v>
      </c>
      <c r="I417" s="2" t="s">
        <v>2519</v>
      </c>
      <c r="J417" s="2" t="s">
        <v>19</v>
      </c>
      <c r="K417" s="2" t="s">
        <v>36</v>
      </c>
      <c r="L417" s="2" t="s">
        <v>199</v>
      </c>
      <c r="M417" s="3">
        <v>44451</v>
      </c>
      <c r="N417" s="4">
        <f>Table1_3[[#This Row],[Admission_Date]]</f>
        <v>44451</v>
      </c>
      <c r="O417" s="5">
        <f>Table1_3[[#This Row],[Admission_Date]]</f>
        <v>44451</v>
      </c>
      <c r="P417" s="2">
        <v>48301.21</v>
      </c>
      <c r="Q417" s="2">
        <f t="shared" si="6"/>
        <v>1</v>
      </c>
      <c r="R417" s="2" t="s">
        <v>2523</v>
      </c>
      <c r="S417" s="2" t="s">
        <v>36</v>
      </c>
      <c r="T417" s="2" t="s">
        <v>36</v>
      </c>
      <c r="U417" t="str">
        <f>INDEX(Table2[Doctor_Name],MATCH(Table1_3[[#This Row],[Department]],Table2[Department],0))</f>
        <v>Dr. Vikram Torres</v>
      </c>
    </row>
    <row r="418" spans="1:21" x14ac:dyDescent="0.35">
      <c r="A418" s="2" t="s">
        <v>1194</v>
      </c>
      <c r="B418" s="2" t="s">
        <v>1195</v>
      </c>
      <c r="C418" s="2">
        <v>16</v>
      </c>
      <c r="D418" s="2" t="s">
        <v>29</v>
      </c>
      <c r="E418" s="2" t="s">
        <v>89</v>
      </c>
      <c r="F418" s="2" t="s">
        <v>2518</v>
      </c>
      <c r="G418" s="2" t="s">
        <v>54</v>
      </c>
      <c r="H418" s="2">
        <v>179</v>
      </c>
      <c r="I418" s="2">
        <v>51.2</v>
      </c>
      <c r="J418" s="2" t="s">
        <v>65</v>
      </c>
      <c r="K418" s="2" t="s">
        <v>19</v>
      </c>
      <c r="L418" s="2" t="s">
        <v>69</v>
      </c>
      <c r="M418" s="3">
        <v>45063</v>
      </c>
      <c r="N418" s="4">
        <f>Table1_3[[#This Row],[Admission_Date]]</f>
        <v>45063</v>
      </c>
      <c r="O418" s="5">
        <f>Table1_3[[#This Row],[Admission_Date]]</f>
        <v>45063</v>
      </c>
      <c r="P418" s="2">
        <v>504.24</v>
      </c>
      <c r="Q418" s="2">
        <f t="shared" si="6"/>
        <v>107</v>
      </c>
      <c r="R418" s="2" t="s">
        <v>2521</v>
      </c>
      <c r="S418" s="2">
        <v>15.979526232015232</v>
      </c>
      <c r="T418" s="2" t="s">
        <v>2524</v>
      </c>
      <c r="U418" t="str">
        <f>INDEX(Table2[Doctor_Name],MATCH(Table1_3[[#This Row],[Department]],Table2[Department],0))</f>
        <v>Dr. Vikram Wang</v>
      </c>
    </row>
    <row r="419" spans="1:21" x14ac:dyDescent="0.35">
      <c r="A419" s="2" t="s">
        <v>761</v>
      </c>
      <c r="B419" s="2" t="s">
        <v>762</v>
      </c>
      <c r="C419" s="2">
        <v>89</v>
      </c>
      <c r="D419" s="2" t="s">
        <v>138</v>
      </c>
      <c r="E419" s="2" t="s">
        <v>78</v>
      </c>
      <c r="F419" s="2" t="s">
        <v>17</v>
      </c>
      <c r="G419" s="2" t="s">
        <v>124</v>
      </c>
      <c r="H419" s="2" t="s">
        <v>2519</v>
      </c>
      <c r="I419" s="2">
        <v>44</v>
      </c>
      <c r="J419" s="2" t="s">
        <v>65</v>
      </c>
      <c r="K419" s="2" t="s">
        <v>19</v>
      </c>
      <c r="L419" s="2" t="s">
        <v>107</v>
      </c>
      <c r="M419" s="3">
        <v>44637</v>
      </c>
      <c r="N419" s="4">
        <f>Table1_3[[#This Row],[Admission_Date]]</f>
        <v>44637</v>
      </c>
      <c r="O419" s="5">
        <f>Table1_3[[#This Row],[Admission_Date]]</f>
        <v>44637</v>
      </c>
      <c r="P419" s="2">
        <v>30306.15</v>
      </c>
      <c r="Q419" s="2">
        <f t="shared" si="6"/>
        <v>83</v>
      </c>
      <c r="R419" s="2" t="s">
        <v>2525</v>
      </c>
      <c r="S419" s="2" t="s">
        <v>36</v>
      </c>
      <c r="T419" s="2" t="s">
        <v>36</v>
      </c>
      <c r="U419" t="str">
        <f>INDEX(Table2[Doctor_Name],MATCH(Table1_3[[#This Row],[Department]],Table2[Department],0))</f>
        <v>Dr. Anita Sanchez</v>
      </c>
    </row>
    <row r="420" spans="1:21" x14ac:dyDescent="0.35">
      <c r="A420" s="2" t="s">
        <v>619</v>
      </c>
      <c r="B420" s="2" t="s">
        <v>1053</v>
      </c>
      <c r="C420" s="2">
        <v>49</v>
      </c>
      <c r="D420" s="2" t="s">
        <v>29</v>
      </c>
      <c r="E420" s="2" t="s">
        <v>73</v>
      </c>
      <c r="F420" s="2" t="s">
        <v>2518</v>
      </c>
      <c r="G420" s="2" t="s">
        <v>60</v>
      </c>
      <c r="H420" s="2">
        <v>185</v>
      </c>
      <c r="I420" s="2">
        <v>125</v>
      </c>
      <c r="J420" s="2" t="s">
        <v>19</v>
      </c>
      <c r="K420" s="2" t="s">
        <v>65</v>
      </c>
      <c r="L420" s="2" t="s">
        <v>69</v>
      </c>
      <c r="M420" s="3">
        <v>44748</v>
      </c>
      <c r="N420" s="4">
        <f>Table1_3[[#This Row],[Admission_Date]]</f>
        <v>44748</v>
      </c>
      <c r="O420" s="5">
        <f>Table1_3[[#This Row],[Admission_Date]]</f>
        <v>44748</v>
      </c>
      <c r="P420" s="2">
        <v>34991.75</v>
      </c>
      <c r="Q420" s="2">
        <f t="shared" si="6"/>
        <v>107</v>
      </c>
      <c r="R420" s="2" t="s">
        <v>2523</v>
      </c>
      <c r="S420" s="2">
        <v>36.523009495982464</v>
      </c>
      <c r="T420" s="2" t="s">
        <v>2522</v>
      </c>
      <c r="U420" t="str">
        <f>INDEX(Table2[Doctor_Name],MATCH(Table1_3[[#This Row],[Department]],Table2[Department],0))</f>
        <v>Dr. Vikram Wang</v>
      </c>
    </row>
    <row r="421" spans="1:21" x14ac:dyDescent="0.35">
      <c r="A421" s="2" t="s">
        <v>237</v>
      </c>
      <c r="B421" s="2" t="s">
        <v>2417</v>
      </c>
      <c r="C421" s="2">
        <v>41</v>
      </c>
      <c r="D421" s="2" t="s">
        <v>29</v>
      </c>
      <c r="E421" s="2" t="s">
        <v>217</v>
      </c>
      <c r="F421" s="2" t="s">
        <v>2518</v>
      </c>
      <c r="G421" s="2" t="s">
        <v>35</v>
      </c>
      <c r="H421" s="2" t="s">
        <v>2519</v>
      </c>
      <c r="I421" s="2">
        <v>49.9</v>
      </c>
      <c r="J421" s="2" t="s">
        <v>65</v>
      </c>
      <c r="K421" s="2" t="s">
        <v>65</v>
      </c>
      <c r="L421" s="2" t="s">
        <v>143</v>
      </c>
      <c r="M421" s="3">
        <v>44234</v>
      </c>
      <c r="N421" s="4">
        <f>Table1_3[[#This Row],[Admission_Date]]</f>
        <v>44234</v>
      </c>
      <c r="O421" s="5">
        <f>Table1_3[[#This Row],[Admission_Date]]</f>
        <v>44234</v>
      </c>
      <c r="P421" s="2">
        <v>45507.65</v>
      </c>
      <c r="Q421" s="2">
        <f t="shared" si="6"/>
        <v>1</v>
      </c>
      <c r="R421" s="2" t="s">
        <v>2523</v>
      </c>
      <c r="S421" s="2" t="s">
        <v>36</v>
      </c>
      <c r="T421" s="2" t="s">
        <v>36</v>
      </c>
      <c r="U421" t="str">
        <f>INDEX(Table2[Doctor_Name],MATCH(Table1_3[[#This Row],[Department]],Table2[Department],0))</f>
        <v>Dr. Neha Liu</v>
      </c>
    </row>
    <row r="422" spans="1:21" x14ac:dyDescent="0.35">
      <c r="A422" s="2" t="s">
        <v>1441</v>
      </c>
      <c r="B422" s="2" t="s">
        <v>2510</v>
      </c>
      <c r="C422" s="2">
        <v>29</v>
      </c>
      <c r="D422" s="2" t="s">
        <v>29</v>
      </c>
      <c r="E422" s="2" t="s">
        <v>45</v>
      </c>
      <c r="F422" s="2" t="s">
        <v>134</v>
      </c>
      <c r="G422" s="2" t="s">
        <v>90</v>
      </c>
      <c r="H422" s="2">
        <v>188.8</v>
      </c>
      <c r="I422" s="2">
        <v>71.400000000000006</v>
      </c>
      <c r="J422" s="2" t="s">
        <v>19</v>
      </c>
      <c r="K422" s="2" t="s">
        <v>19</v>
      </c>
      <c r="L422" s="2" t="s">
        <v>2537</v>
      </c>
      <c r="M422" s="3">
        <v>44399</v>
      </c>
      <c r="N422" s="4">
        <f>Table1_3[[#This Row],[Admission_Date]]</f>
        <v>44399</v>
      </c>
      <c r="O422" s="5">
        <f>Table1_3[[#This Row],[Admission_Date]]</f>
        <v>44399</v>
      </c>
      <c r="P422" s="2">
        <v>8952</v>
      </c>
      <c r="Q422" s="2">
        <f t="shared" si="6"/>
        <v>30</v>
      </c>
      <c r="R422" s="2" t="s">
        <v>2523</v>
      </c>
      <c r="S422" s="2">
        <v>20.030612611318585</v>
      </c>
      <c r="T422" s="2" t="s">
        <v>1567</v>
      </c>
      <c r="U422" t="str">
        <f>INDEX(Table2[Doctor_Name],MATCH(Table1_3[[#This Row],[Department]],Table2[Department],0))</f>
        <v>Dr. Sunita Zhang</v>
      </c>
    </row>
    <row r="423" spans="1:21" x14ac:dyDescent="0.35">
      <c r="A423" s="2" t="s">
        <v>489</v>
      </c>
      <c r="B423" s="2" t="s">
        <v>490</v>
      </c>
      <c r="C423" s="2">
        <v>52</v>
      </c>
      <c r="D423" s="2" t="s">
        <v>138</v>
      </c>
      <c r="E423" s="2" t="s">
        <v>115</v>
      </c>
      <c r="F423" s="2" t="s">
        <v>17</v>
      </c>
      <c r="G423" s="2" t="s">
        <v>417</v>
      </c>
      <c r="H423" s="2">
        <v>188</v>
      </c>
      <c r="I423" s="2">
        <v>54</v>
      </c>
      <c r="J423" s="2" t="s">
        <v>19</v>
      </c>
      <c r="K423" s="2" t="s">
        <v>19</v>
      </c>
      <c r="L423" s="2" t="s">
        <v>2537</v>
      </c>
      <c r="M423" s="3">
        <v>44599</v>
      </c>
      <c r="N423" s="4">
        <f>Table1_3[[#This Row],[Admission_Date]]</f>
        <v>44599</v>
      </c>
      <c r="O423" s="5">
        <f>Table1_3[[#This Row],[Admission_Date]]</f>
        <v>44599</v>
      </c>
      <c r="P423" s="2">
        <v>45962.86</v>
      </c>
      <c r="Q423" s="2">
        <f t="shared" si="6"/>
        <v>1</v>
      </c>
      <c r="R423" s="2" t="s">
        <v>2523</v>
      </c>
      <c r="S423" s="2">
        <v>15.278406518786783</v>
      </c>
      <c r="T423" s="2" t="s">
        <v>2524</v>
      </c>
      <c r="U423" t="str">
        <f>INDEX(Table2[Doctor_Name],MATCH(Table1_3[[#This Row],[Department]],Table2[Department],0))</f>
        <v>Dr. Sunita Zhang</v>
      </c>
    </row>
    <row r="424" spans="1:21" x14ac:dyDescent="0.35">
      <c r="A424" s="2" t="s">
        <v>671</v>
      </c>
      <c r="B424" s="2" t="s">
        <v>672</v>
      </c>
      <c r="C424" s="2">
        <v>57</v>
      </c>
      <c r="D424" s="2" t="s">
        <v>138</v>
      </c>
      <c r="E424" s="2" t="s">
        <v>230</v>
      </c>
      <c r="F424" s="2" t="s">
        <v>79</v>
      </c>
      <c r="G424" s="2" t="s">
        <v>417</v>
      </c>
      <c r="H424" s="2">
        <v>193</v>
      </c>
      <c r="I424" s="2">
        <v>117.2</v>
      </c>
      <c r="J424" s="2" t="s">
        <v>65</v>
      </c>
      <c r="K424" s="2" t="s">
        <v>65</v>
      </c>
      <c r="L424" s="2" t="s">
        <v>199</v>
      </c>
      <c r="M424" s="3">
        <v>44381</v>
      </c>
      <c r="N424" s="4">
        <f>Table1_3[[#This Row],[Admission_Date]]</f>
        <v>44381</v>
      </c>
      <c r="O424" s="5">
        <f>Table1_3[[#This Row],[Admission_Date]]</f>
        <v>44381</v>
      </c>
      <c r="P424" s="2">
        <v>4434.01</v>
      </c>
      <c r="Q424" s="2">
        <f t="shared" si="6"/>
        <v>34</v>
      </c>
      <c r="R424" s="2" t="s">
        <v>2523</v>
      </c>
      <c r="S424" s="2">
        <v>31.463931917635374</v>
      </c>
      <c r="T424" s="2" t="s">
        <v>2522</v>
      </c>
      <c r="U424" t="str">
        <f>INDEX(Table2[Doctor_Name],MATCH(Table1_3[[#This Row],[Department]],Table2[Department],0))</f>
        <v>Dr. Vikram Torres</v>
      </c>
    </row>
    <row r="425" spans="1:21" x14ac:dyDescent="0.35">
      <c r="A425" s="2" t="s">
        <v>548</v>
      </c>
      <c r="B425" s="2" t="s">
        <v>549</v>
      </c>
      <c r="C425" s="2">
        <v>64</v>
      </c>
      <c r="D425" s="2" t="s">
        <v>29</v>
      </c>
      <c r="E425" s="2" t="s">
        <v>24</v>
      </c>
      <c r="F425" s="2" t="s">
        <v>36</v>
      </c>
      <c r="G425" s="2" t="s">
        <v>191</v>
      </c>
      <c r="H425" s="2">
        <v>190</v>
      </c>
      <c r="I425" s="2">
        <v>102</v>
      </c>
      <c r="J425" s="2" t="s">
        <v>65</v>
      </c>
      <c r="K425" s="2" t="s">
        <v>19</v>
      </c>
      <c r="L425" s="2" t="s">
        <v>2537</v>
      </c>
      <c r="M425" s="3">
        <v>44586</v>
      </c>
      <c r="N425" s="4">
        <f>Table1_3[[#This Row],[Admission_Date]]</f>
        <v>44586</v>
      </c>
      <c r="O425" s="5">
        <f>Table1_3[[#This Row],[Admission_Date]]</f>
        <v>44586</v>
      </c>
      <c r="P425" s="2">
        <v>860.87</v>
      </c>
      <c r="Q425" s="2">
        <f t="shared" si="6"/>
        <v>30</v>
      </c>
      <c r="R425" s="2" t="s">
        <v>2525</v>
      </c>
      <c r="S425" s="2">
        <v>28.254847645429365</v>
      </c>
      <c r="T425" s="2" t="s">
        <v>2526</v>
      </c>
      <c r="U425" t="str">
        <f>INDEX(Table2[Doctor_Name],MATCH(Table1_3[[#This Row],[Department]],Table2[Department],0))</f>
        <v>Dr. Sunita Zhang</v>
      </c>
    </row>
    <row r="426" spans="1:21" x14ac:dyDescent="0.35">
      <c r="A426" s="2" t="s">
        <v>967</v>
      </c>
      <c r="B426" s="2" t="s">
        <v>968</v>
      </c>
      <c r="C426" s="2" t="s">
        <v>2519</v>
      </c>
      <c r="D426" s="2" t="s">
        <v>29</v>
      </c>
      <c r="E426" s="2" t="s">
        <v>146</v>
      </c>
      <c r="F426" s="2" t="s">
        <v>2517</v>
      </c>
      <c r="G426" s="2" t="s">
        <v>90</v>
      </c>
      <c r="H426" s="2">
        <v>164</v>
      </c>
      <c r="I426" s="2">
        <v>125.7</v>
      </c>
      <c r="J426" s="2" t="s">
        <v>65</v>
      </c>
      <c r="K426" s="2" t="s">
        <v>19</v>
      </c>
      <c r="L426" s="2" t="s">
        <v>69</v>
      </c>
      <c r="M426" s="3">
        <v>45018</v>
      </c>
      <c r="N426" s="4">
        <f>Table1_3[[#This Row],[Admission_Date]]</f>
        <v>45018</v>
      </c>
      <c r="O426" s="5">
        <f>Table1_3[[#This Row],[Admission_Date]]</f>
        <v>45018</v>
      </c>
      <c r="P426" s="2">
        <v>17228.95</v>
      </c>
      <c r="Q426" s="2">
        <f t="shared" si="6"/>
        <v>107</v>
      </c>
      <c r="R426" s="2" t="s">
        <v>36</v>
      </c>
      <c r="S426" s="2">
        <v>46.735574063057712</v>
      </c>
      <c r="T426" s="2" t="s">
        <v>2522</v>
      </c>
      <c r="U426" t="str">
        <f>INDEX(Table2[Doctor_Name],MATCH(Table1_3[[#This Row],[Department]],Table2[Department],0))</f>
        <v>Dr. Vikram Wang</v>
      </c>
    </row>
    <row r="427" spans="1:21" x14ac:dyDescent="0.35">
      <c r="A427" s="2" t="s">
        <v>1237</v>
      </c>
      <c r="B427" s="2" t="s">
        <v>1238</v>
      </c>
      <c r="C427" s="2">
        <v>28</v>
      </c>
      <c r="D427" s="2" t="s">
        <v>29</v>
      </c>
      <c r="E427" s="2" t="s">
        <v>111</v>
      </c>
      <c r="F427" s="2" t="s">
        <v>2518</v>
      </c>
      <c r="G427" s="2" t="s">
        <v>40</v>
      </c>
      <c r="H427" s="2">
        <v>194.2</v>
      </c>
      <c r="I427" s="2">
        <v>120.3</v>
      </c>
      <c r="J427" s="2" t="s">
        <v>19</v>
      </c>
      <c r="K427" s="2" t="s">
        <v>65</v>
      </c>
      <c r="L427" s="2" t="s">
        <v>69</v>
      </c>
      <c r="M427" s="3">
        <v>44934</v>
      </c>
      <c r="N427" s="4">
        <f>Table1_3[[#This Row],[Admission_Date]]</f>
        <v>44934</v>
      </c>
      <c r="O427" s="5">
        <f>Table1_3[[#This Row],[Admission_Date]]</f>
        <v>44934</v>
      </c>
      <c r="P427" s="2">
        <v>15268.36</v>
      </c>
      <c r="Q427" s="2">
        <f t="shared" si="6"/>
        <v>107</v>
      </c>
      <c r="R427" s="2" t="s">
        <v>2523</v>
      </c>
      <c r="S427" s="2">
        <v>31.898273409832626</v>
      </c>
      <c r="T427" s="2" t="s">
        <v>2522</v>
      </c>
      <c r="U427" t="str">
        <f>INDEX(Table2[Doctor_Name],MATCH(Table1_3[[#This Row],[Department]],Table2[Department],0))</f>
        <v>Dr. Vikram Wang</v>
      </c>
    </row>
    <row r="428" spans="1:21" x14ac:dyDescent="0.35">
      <c r="A428" s="2" t="s">
        <v>713</v>
      </c>
      <c r="B428" s="2" t="s">
        <v>516</v>
      </c>
      <c r="C428" s="2">
        <v>35</v>
      </c>
      <c r="D428" s="2" t="s">
        <v>29</v>
      </c>
      <c r="E428" s="2" t="s">
        <v>24</v>
      </c>
      <c r="F428" s="2" t="s">
        <v>273</v>
      </c>
      <c r="G428" s="2" t="s">
        <v>36</v>
      </c>
      <c r="H428" s="2">
        <v>159.4</v>
      </c>
      <c r="I428" s="2">
        <v>114</v>
      </c>
      <c r="J428" s="2" t="s">
        <v>65</v>
      </c>
      <c r="K428" s="2" t="s">
        <v>19</v>
      </c>
      <c r="L428" s="2" t="s">
        <v>31</v>
      </c>
      <c r="M428" s="3">
        <v>45106</v>
      </c>
      <c r="N428" s="4">
        <f>Table1_3[[#This Row],[Admission_Date]]</f>
        <v>45106</v>
      </c>
      <c r="O428" s="5">
        <f>Table1_3[[#This Row],[Admission_Date]]</f>
        <v>45106</v>
      </c>
      <c r="P428" s="2">
        <v>15715.56</v>
      </c>
      <c r="Q428" s="2">
        <f t="shared" si="6"/>
        <v>37</v>
      </c>
      <c r="R428" s="2" t="s">
        <v>2523</v>
      </c>
      <c r="S428" s="2">
        <v>44.867122474650074</v>
      </c>
      <c r="T428" s="2" t="s">
        <v>2522</v>
      </c>
      <c r="U428" t="str">
        <f>INDEX(Table2[Doctor_Name],MATCH(Table1_3[[#This Row],[Department]],Table2[Department],0))</f>
        <v>Dr. Arvind Chen</v>
      </c>
    </row>
    <row r="429" spans="1:21" x14ac:dyDescent="0.35">
      <c r="A429" s="2" t="s">
        <v>713</v>
      </c>
      <c r="B429" s="2" t="s">
        <v>2490</v>
      </c>
      <c r="C429" s="2">
        <v>26</v>
      </c>
      <c r="D429" s="2" t="s">
        <v>138</v>
      </c>
      <c r="E429" s="2" t="s">
        <v>78</v>
      </c>
      <c r="F429" s="2" t="s">
        <v>17</v>
      </c>
      <c r="G429" s="2" t="s">
        <v>60</v>
      </c>
      <c r="H429" s="2">
        <v>173.7</v>
      </c>
      <c r="I429" s="2">
        <v>62.5</v>
      </c>
      <c r="J429" s="2" t="s">
        <v>65</v>
      </c>
      <c r="K429" s="2" t="s">
        <v>65</v>
      </c>
      <c r="L429" s="2" t="s">
        <v>107</v>
      </c>
      <c r="M429" s="3">
        <v>44943</v>
      </c>
      <c r="N429" s="4">
        <f>Table1_3[[#This Row],[Admission_Date]]</f>
        <v>44943</v>
      </c>
      <c r="O429" s="5">
        <f>Table1_3[[#This Row],[Admission_Date]]</f>
        <v>44943</v>
      </c>
      <c r="P429" s="2">
        <v>44663.57</v>
      </c>
      <c r="Q429" s="2">
        <f t="shared" si="6"/>
        <v>52</v>
      </c>
      <c r="R429" s="2" t="s">
        <v>2523</v>
      </c>
      <c r="S429" s="2">
        <v>20.714782632328522</v>
      </c>
      <c r="T429" s="2" t="s">
        <v>1567</v>
      </c>
      <c r="U429" t="str">
        <f>INDEX(Table2[Doctor_Name],MATCH(Table1_3[[#This Row],[Department]],Table2[Department],0))</f>
        <v>Dr. Anita Sanchez</v>
      </c>
    </row>
    <row r="430" spans="1:21" x14ac:dyDescent="0.35">
      <c r="A430" s="2" t="s">
        <v>1475</v>
      </c>
      <c r="B430" s="2" t="s">
        <v>2514</v>
      </c>
      <c r="C430" s="2">
        <v>56</v>
      </c>
      <c r="D430" s="2" t="s">
        <v>29</v>
      </c>
      <c r="E430" s="2" t="s">
        <v>146</v>
      </c>
      <c r="F430" s="2" t="s">
        <v>2518</v>
      </c>
      <c r="G430" s="2" t="s">
        <v>198</v>
      </c>
      <c r="H430" s="2">
        <v>147</v>
      </c>
      <c r="I430" s="2">
        <v>70</v>
      </c>
      <c r="J430" s="2" t="s">
        <v>19</v>
      </c>
      <c r="K430" s="2" t="s">
        <v>36</v>
      </c>
      <c r="L430" s="2" t="s">
        <v>226</v>
      </c>
      <c r="M430" s="3">
        <v>45178</v>
      </c>
      <c r="N430" s="4">
        <f>Table1_3[[#This Row],[Admission_Date]]</f>
        <v>45178</v>
      </c>
      <c r="O430" s="5">
        <f>Table1_3[[#This Row],[Admission_Date]]</f>
        <v>45178</v>
      </c>
      <c r="P430" s="2">
        <v>49154.97</v>
      </c>
      <c r="Q430" s="2">
        <f t="shared" si="6"/>
        <v>1</v>
      </c>
      <c r="R430" s="2" t="s">
        <v>2523</v>
      </c>
      <c r="S430" s="2">
        <v>32.393909944930357</v>
      </c>
      <c r="T430" s="2" t="s">
        <v>2522</v>
      </c>
      <c r="U430" t="str">
        <f>INDEX(Table2[Doctor_Name],MATCH(Table1_3[[#This Row],[Department]],Table2[Department],0))</f>
        <v>Dr. Vikram Khan</v>
      </c>
    </row>
    <row r="431" spans="1:21" x14ac:dyDescent="0.35">
      <c r="A431" s="2" t="s">
        <v>1287</v>
      </c>
      <c r="B431" s="2" t="s">
        <v>1288</v>
      </c>
      <c r="C431" s="2">
        <v>52</v>
      </c>
      <c r="D431" s="2" t="s">
        <v>52</v>
      </c>
      <c r="E431" s="2" t="s">
        <v>111</v>
      </c>
      <c r="F431" s="2" t="s">
        <v>2518</v>
      </c>
      <c r="G431" s="2" t="s">
        <v>208</v>
      </c>
      <c r="H431" s="2">
        <v>148</v>
      </c>
      <c r="I431" s="2">
        <v>71</v>
      </c>
      <c r="J431" s="2" t="s">
        <v>36</v>
      </c>
      <c r="K431" s="2" t="s">
        <v>65</v>
      </c>
      <c r="L431" s="2" t="s">
        <v>69</v>
      </c>
      <c r="M431" s="3">
        <v>44604</v>
      </c>
      <c r="N431" s="4">
        <f>Table1_3[[#This Row],[Admission_Date]]</f>
        <v>44604</v>
      </c>
      <c r="O431" s="5">
        <f>Table1_3[[#This Row],[Admission_Date]]</f>
        <v>44604</v>
      </c>
      <c r="P431" s="2">
        <v>48833.71</v>
      </c>
      <c r="Q431" s="2">
        <f t="shared" si="6"/>
        <v>1</v>
      </c>
      <c r="R431" s="2" t="s">
        <v>2523</v>
      </c>
      <c r="S431" s="2">
        <v>32.414170927684445</v>
      </c>
      <c r="T431" s="2" t="s">
        <v>2522</v>
      </c>
      <c r="U431" t="str">
        <f>INDEX(Table2[Doctor_Name],MATCH(Table1_3[[#This Row],[Department]],Table2[Department],0))</f>
        <v>Dr. Vikram Wang</v>
      </c>
    </row>
    <row r="432" spans="1:21" x14ac:dyDescent="0.35">
      <c r="A432" s="2" t="s">
        <v>1343</v>
      </c>
      <c r="B432" s="2" t="s">
        <v>1344</v>
      </c>
      <c r="C432" s="2">
        <v>20</v>
      </c>
      <c r="D432" s="2" t="s">
        <v>138</v>
      </c>
      <c r="E432" s="2" t="s">
        <v>78</v>
      </c>
      <c r="F432" s="2" t="s">
        <v>120</v>
      </c>
      <c r="G432" s="2" t="s">
        <v>112</v>
      </c>
      <c r="H432" s="2">
        <v>191</v>
      </c>
      <c r="I432" s="2">
        <v>62.3</v>
      </c>
      <c r="J432" s="2" t="s">
        <v>65</v>
      </c>
      <c r="K432" s="2" t="s">
        <v>65</v>
      </c>
      <c r="L432" s="2" t="s">
        <v>55</v>
      </c>
      <c r="M432" s="3">
        <v>44408</v>
      </c>
      <c r="N432" s="4">
        <f>Table1_3[[#This Row],[Admission_Date]]</f>
        <v>44408</v>
      </c>
      <c r="O432" s="5">
        <f>Table1_3[[#This Row],[Admission_Date]]</f>
        <v>44408</v>
      </c>
      <c r="P432" s="2">
        <v>36657.61</v>
      </c>
      <c r="Q432" s="2">
        <f t="shared" si="6"/>
        <v>42</v>
      </c>
      <c r="R432" s="2" t="s">
        <v>2527</v>
      </c>
      <c r="S432" s="2">
        <v>17.077382747183464</v>
      </c>
      <c r="T432" s="2" t="s">
        <v>2524</v>
      </c>
      <c r="U432" t="str">
        <f>INDEX(Table2[Doctor_Name],MATCH(Table1_3[[#This Row],[Department]],Table2[Department],0))</f>
        <v>Dr. Sunita Sanchez</v>
      </c>
    </row>
    <row r="433" spans="1:21" x14ac:dyDescent="0.35">
      <c r="A433" s="2" t="s">
        <v>1155</v>
      </c>
      <c r="B433" s="2" t="s">
        <v>2485</v>
      </c>
      <c r="C433" s="2">
        <v>5</v>
      </c>
      <c r="D433" s="2" t="s">
        <v>29</v>
      </c>
      <c r="E433" s="2" t="s">
        <v>111</v>
      </c>
      <c r="F433" s="2" t="s">
        <v>17</v>
      </c>
      <c r="G433" s="2" t="s">
        <v>60</v>
      </c>
      <c r="H433" s="2">
        <v>174.4</v>
      </c>
      <c r="I433" s="2">
        <v>117.8</v>
      </c>
      <c r="J433" s="2" t="s">
        <v>65</v>
      </c>
      <c r="K433" s="2" t="s">
        <v>19</v>
      </c>
      <c r="L433" s="2" t="s">
        <v>107</v>
      </c>
      <c r="M433" s="3">
        <v>44670</v>
      </c>
      <c r="N433" s="4">
        <f>Table1_3[[#This Row],[Admission_Date]]</f>
        <v>44670</v>
      </c>
      <c r="O433" s="5">
        <f>Table1_3[[#This Row],[Admission_Date]]</f>
        <v>44670</v>
      </c>
      <c r="P433" s="2">
        <v>17140.8</v>
      </c>
      <c r="Q433" s="2">
        <f t="shared" si="6"/>
        <v>83</v>
      </c>
      <c r="R433" s="2" t="s">
        <v>2521</v>
      </c>
      <c r="S433" s="2">
        <v>38.730430940156552</v>
      </c>
      <c r="T433" s="2" t="s">
        <v>2522</v>
      </c>
      <c r="U433" t="str">
        <f>INDEX(Table2[Doctor_Name],MATCH(Table1_3[[#This Row],[Department]],Table2[Department],0))</f>
        <v>Dr. Anita Sanchez</v>
      </c>
    </row>
    <row r="434" spans="1:21" x14ac:dyDescent="0.35">
      <c r="A434" s="2" t="s">
        <v>215</v>
      </c>
      <c r="B434" s="2" t="s">
        <v>216</v>
      </c>
      <c r="C434" s="2">
        <v>45</v>
      </c>
      <c r="D434" s="2" t="s">
        <v>138</v>
      </c>
      <c r="E434" s="2" t="s">
        <v>217</v>
      </c>
      <c r="F434" s="2" t="s">
        <v>2517</v>
      </c>
      <c r="G434" s="2" t="s">
        <v>102</v>
      </c>
      <c r="H434" s="2">
        <v>191.1</v>
      </c>
      <c r="I434" s="2" t="s">
        <v>2519</v>
      </c>
      <c r="J434" s="2" t="s">
        <v>65</v>
      </c>
      <c r="K434" s="2" t="s">
        <v>65</v>
      </c>
      <c r="L434" s="2" t="s">
        <v>107</v>
      </c>
      <c r="M434" s="3">
        <v>45163</v>
      </c>
      <c r="N434" s="4">
        <f>Table1_3[[#This Row],[Admission_Date]]</f>
        <v>45163</v>
      </c>
      <c r="O434" s="5">
        <f>Table1_3[[#This Row],[Admission_Date]]</f>
        <v>45163</v>
      </c>
      <c r="P434" s="2">
        <v>45469.86</v>
      </c>
      <c r="Q434" s="2">
        <f t="shared" si="6"/>
        <v>1</v>
      </c>
      <c r="R434" s="2" t="s">
        <v>2523</v>
      </c>
      <c r="S434" s="2" t="s">
        <v>36</v>
      </c>
      <c r="T434" s="2" t="s">
        <v>36</v>
      </c>
      <c r="U434" t="str">
        <f>INDEX(Table2[Doctor_Name],MATCH(Table1_3[[#This Row],[Department]],Table2[Department],0))</f>
        <v>Dr. Anita Sanchez</v>
      </c>
    </row>
    <row r="435" spans="1:21" x14ac:dyDescent="0.35">
      <c r="A435" s="2" t="s">
        <v>642</v>
      </c>
      <c r="B435" s="2" t="s">
        <v>643</v>
      </c>
      <c r="C435" s="2">
        <v>2</v>
      </c>
      <c r="D435" s="2" t="s">
        <v>29</v>
      </c>
      <c r="E435" s="2" t="s">
        <v>84</v>
      </c>
      <c r="F435" s="2" t="s">
        <v>17</v>
      </c>
      <c r="G435" s="2" t="s">
        <v>102</v>
      </c>
      <c r="H435" s="2">
        <v>164</v>
      </c>
      <c r="I435" s="2">
        <v>64.8</v>
      </c>
      <c r="J435" s="2" t="s">
        <v>65</v>
      </c>
      <c r="K435" s="2" t="s">
        <v>65</v>
      </c>
      <c r="L435" s="2" t="s">
        <v>69</v>
      </c>
      <c r="M435" s="3">
        <v>44295</v>
      </c>
      <c r="N435" s="4">
        <f>Table1_3[[#This Row],[Admission_Date]]</f>
        <v>44295</v>
      </c>
      <c r="O435" s="5">
        <f>Table1_3[[#This Row],[Admission_Date]]</f>
        <v>44295</v>
      </c>
      <c r="P435" s="2">
        <v>29534.79</v>
      </c>
      <c r="Q435" s="2">
        <f t="shared" si="6"/>
        <v>107</v>
      </c>
      <c r="R435" s="2" t="s">
        <v>2521</v>
      </c>
      <c r="S435" s="2">
        <v>24.092801903628796</v>
      </c>
      <c r="T435" s="2" t="s">
        <v>1567</v>
      </c>
      <c r="U435" t="str">
        <f>INDEX(Table2[Doctor_Name],MATCH(Table1_3[[#This Row],[Department]],Table2[Department],0))</f>
        <v>Dr. Vikram Wang</v>
      </c>
    </row>
    <row r="436" spans="1:21" x14ac:dyDescent="0.35">
      <c r="A436" s="2" t="s">
        <v>748</v>
      </c>
      <c r="B436" s="2" t="s">
        <v>749</v>
      </c>
      <c r="C436" s="2">
        <v>70</v>
      </c>
      <c r="D436" s="2" t="s">
        <v>52</v>
      </c>
      <c r="E436" s="2" t="s">
        <v>24</v>
      </c>
      <c r="F436" s="2" t="s">
        <v>79</v>
      </c>
      <c r="G436" s="2" t="s">
        <v>295</v>
      </c>
      <c r="H436" s="2">
        <v>153</v>
      </c>
      <c r="I436" s="2" t="s">
        <v>2519</v>
      </c>
      <c r="J436" s="2" t="s">
        <v>65</v>
      </c>
      <c r="K436" s="2" t="s">
        <v>19</v>
      </c>
      <c r="L436" s="2" t="s">
        <v>55</v>
      </c>
      <c r="M436" s="3">
        <v>44598</v>
      </c>
      <c r="N436" s="4">
        <f>Table1_3[[#This Row],[Admission_Date]]</f>
        <v>44598</v>
      </c>
      <c r="O436" s="5">
        <f>Table1_3[[#This Row],[Admission_Date]]</f>
        <v>44598</v>
      </c>
      <c r="P436" s="2">
        <v>48768.74</v>
      </c>
      <c r="Q436" s="2">
        <f t="shared" si="6"/>
        <v>1</v>
      </c>
      <c r="R436" s="2" t="s">
        <v>2525</v>
      </c>
      <c r="S436" s="2" t="s">
        <v>36</v>
      </c>
      <c r="T436" s="2" t="s">
        <v>36</v>
      </c>
      <c r="U436" t="str">
        <f>INDEX(Table2[Doctor_Name],MATCH(Table1_3[[#This Row],[Department]],Table2[Department],0))</f>
        <v>Dr. Sunita Sanchez</v>
      </c>
    </row>
    <row r="437" spans="1:21" x14ac:dyDescent="0.35">
      <c r="A437" s="2" t="s">
        <v>639</v>
      </c>
      <c r="B437" s="2" t="s">
        <v>640</v>
      </c>
      <c r="C437" s="2">
        <v>65</v>
      </c>
      <c r="D437" s="2" t="s">
        <v>29</v>
      </c>
      <c r="E437" s="2" t="s">
        <v>24</v>
      </c>
      <c r="F437" s="2" t="s">
        <v>120</v>
      </c>
      <c r="G437" s="2" t="s">
        <v>124</v>
      </c>
      <c r="H437" s="2">
        <v>191.1</v>
      </c>
      <c r="I437" s="2" t="s">
        <v>2519</v>
      </c>
      <c r="J437" s="2" t="s">
        <v>19</v>
      </c>
      <c r="K437" s="2" t="s">
        <v>36</v>
      </c>
      <c r="L437" s="2" t="s">
        <v>226</v>
      </c>
      <c r="M437" s="3">
        <v>45011</v>
      </c>
      <c r="N437" s="4">
        <f>Table1_3[[#This Row],[Admission_Date]]</f>
        <v>45011</v>
      </c>
      <c r="O437" s="5">
        <f>Table1_3[[#This Row],[Admission_Date]]</f>
        <v>45011</v>
      </c>
      <c r="P437" s="2">
        <v>34392.370000000003</v>
      </c>
      <c r="Q437" s="2">
        <f t="shared" si="6"/>
        <v>35</v>
      </c>
      <c r="R437" s="2" t="s">
        <v>2525</v>
      </c>
      <c r="S437" s="2" t="s">
        <v>36</v>
      </c>
      <c r="T437" s="2" t="s">
        <v>36</v>
      </c>
      <c r="U437" t="str">
        <f>INDEX(Table2[Doctor_Name],MATCH(Table1_3[[#This Row],[Department]],Table2[Department],0))</f>
        <v>Dr. Vikram Khan</v>
      </c>
    </row>
    <row r="438" spans="1:21" x14ac:dyDescent="0.35">
      <c r="A438" s="2" t="s">
        <v>677</v>
      </c>
      <c r="B438" s="2" t="s">
        <v>678</v>
      </c>
      <c r="C438" s="2">
        <v>52</v>
      </c>
      <c r="D438" s="2" t="s">
        <v>52</v>
      </c>
      <c r="E438" s="2" t="s">
        <v>53</v>
      </c>
      <c r="F438" s="2" t="s">
        <v>2518</v>
      </c>
      <c r="G438" s="2" t="s">
        <v>90</v>
      </c>
      <c r="H438" s="2">
        <v>174</v>
      </c>
      <c r="I438" s="2">
        <v>93</v>
      </c>
      <c r="J438" s="2" t="s">
        <v>19</v>
      </c>
      <c r="K438" s="2" t="s">
        <v>65</v>
      </c>
      <c r="L438" s="2" t="s">
        <v>175</v>
      </c>
      <c r="M438" s="3">
        <v>45272</v>
      </c>
      <c r="N438" s="4">
        <f>Table1_3[[#This Row],[Admission_Date]]</f>
        <v>45272</v>
      </c>
      <c r="O438" s="5">
        <f>Table1_3[[#This Row],[Admission_Date]]</f>
        <v>45272</v>
      </c>
      <c r="P438" s="2">
        <v>15518.8</v>
      </c>
      <c r="Q438" s="2">
        <f t="shared" si="6"/>
        <v>38</v>
      </c>
      <c r="R438" s="2" t="s">
        <v>2523</v>
      </c>
      <c r="S438" s="2">
        <v>30.717399920729289</v>
      </c>
      <c r="T438" s="2" t="s">
        <v>2522</v>
      </c>
      <c r="U438" t="str">
        <f>INDEX(Table2[Doctor_Name],MATCH(Table1_3[[#This Row],[Department]],Table2[Department],0))</f>
        <v>Dr. Arvind Wilson</v>
      </c>
    </row>
    <row r="439" spans="1:21" x14ac:dyDescent="0.35">
      <c r="A439" s="2" t="s">
        <v>1032</v>
      </c>
      <c r="B439" s="2" t="s">
        <v>2472</v>
      </c>
      <c r="C439" s="2">
        <v>6</v>
      </c>
      <c r="D439" s="2" t="s">
        <v>29</v>
      </c>
      <c r="E439" s="2" t="s">
        <v>89</v>
      </c>
      <c r="F439" s="2" t="s">
        <v>273</v>
      </c>
      <c r="G439" s="2" t="s">
        <v>208</v>
      </c>
      <c r="H439" s="2">
        <v>190.5</v>
      </c>
      <c r="I439" s="2">
        <v>59</v>
      </c>
      <c r="J439" s="2" t="s">
        <v>19</v>
      </c>
      <c r="K439" s="2" t="s">
        <v>36</v>
      </c>
      <c r="L439" s="2" t="s">
        <v>107</v>
      </c>
      <c r="M439" s="3">
        <v>44952</v>
      </c>
      <c r="N439" s="4">
        <f>Table1_3[[#This Row],[Admission_Date]]</f>
        <v>44952</v>
      </c>
      <c r="O439" s="5">
        <f>Table1_3[[#This Row],[Admission_Date]]</f>
        <v>44952</v>
      </c>
      <c r="P439" s="2">
        <v>4620.68</v>
      </c>
      <c r="Q439" s="2">
        <f t="shared" si="6"/>
        <v>83</v>
      </c>
      <c r="R439" s="2" t="s">
        <v>2521</v>
      </c>
      <c r="S439" s="2">
        <v>16.257810293398364</v>
      </c>
      <c r="T439" s="2" t="s">
        <v>2524</v>
      </c>
      <c r="U439" t="str">
        <f>INDEX(Table2[Doctor_Name],MATCH(Table1_3[[#This Row],[Department]],Table2[Department],0))</f>
        <v>Dr. Anita Sanchez</v>
      </c>
    </row>
    <row r="440" spans="1:21" x14ac:dyDescent="0.35">
      <c r="A440" s="2" t="s">
        <v>382</v>
      </c>
      <c r="B440" s="2" t="s">
        <v>383</v>
      </c>
      <c r="C440" s="2">
        <v>81</v>
      </c>
      <c r="D440" s="2" t="s">
        <v>138</v>
      </c>
      <c r="E440" s="2" t="s">
        <v>24</v>
      </c>
      <c r="F440" s="2" t="s">
        <v>17</v>
      </c>
      <c r="G440" s="2" t="s">
        <v>112</v>
      </c>
      <c r="H440" s="2">
        <v>150</v>
      </c>
      <c r="I440" s="2">
        <v>88</v>
      </c>
      <c r="J440" s="2" t="s">
        <v>36</v>
      </c>
      <c r="K440" s="2" t="s">
        <v>36</v>
      </c>
      <c r="L440" s="2" t="s">
        <v>55</v>
      </c>
      <c r="M440" s="3">
        <v>44979</v>
      </c>
      <c r="N440" s="4">
        <f>Table1_3[[#This Row],[Admission_Date]]</f>
        <v>44979</v>
      </c>
      <c r="O440" s="5">
        <f>Table1_3[[#This Row],[Admission_Date]]</f>
        <v>44979</v>
      </c>
      <c r="P440" s="2">
        <v>13238.59</v>
      </c>
      <c r="Q440" s="2">
        <f t="shared" si="6"/>
        <v>42</v>
      </c>
      <c r="R440" s="2" t="s">
        <v>2525</v>
      </c>
      <c r="S440" s="2">
        <v>39.111111111111114</v>
      </c>
      <c r="T440" s="2" t="s">
        <v>2522</v>
      </c>
      <c r="U440" t="str">
        <f>INDEX(Table2[Doctor_Name],MATCH(Table1_3[[#This Row],[Department]],Table2[Department],0))</f>
        <v>Dr. Sunita Sanchez</v>
      </c>
    </row>
    <row r="441" spans="1:21" x14ac:dyDescent="0.35">
      <c r="A441" s="2" t="s">
        <v>162</v>
      </c>
      <c r="B441" s="2" t="s">
        <v>163</v>
      </c>
      <c r="C441" s="2">
        <v>81</v>
      </c>
      <c r="D441" s="2" t="s">
        <v>29</v>
      </c>
      <c r="E441" s="2" t="s">
        <v>130</v>
      </c>
      <c r="F441" s="2" t="s">
        <v>2518</v>
      </c>
      <c r="G441" s="2" t="s">
        <v>208</v>
      </c>
      <c r="H441" s="2">
        <v>149.4</v>
      </c>
      <c r="I441" s="2">
        <v>121</v>
      </c>
      <c r="J441" s="2" t="s">
        <v>65</v>
      </c>
      <c r="K441" s="2" t="s">
        <v>19</v>
      </c>
      <c r="L441" s="2" t="s">
        <v>31</v>
      </c>
      <c r="M441" s="3">
        <v>44575</v>
      </c>
      <c r="N441" s="4">
        <f>Table1_3[[#This Row],[Admission_Date]]</f>
        <v>44575</v>
      </c>
      <c r="O441" s="5">
        <f>Table1_3[[#This Row],[Admission_Date]]</f>
        <v>44575</v>
      </c>
      <c r="P441" s="2">
        <v>9848.57</v>
      </c>
      <c r="Q441" s="2">
        <f t="shared" si="6"/>
        <v>37</v>
      </c>
      <c r="R441" s="2" t="s">
        <v>2525</v>
      </c>
      <c r="S441" s="2">
        <v>54.210595169611963</v>
      </c>
      <c r="T441" s="2" t="s">
        <v>2522</v>
      </c>
      <c r="U441" t="str">
        <f>INDEX(Table2[Doctor_Name],MATCH(Table1_3[[#This Row],[Department]],Table2[Department],0))</f>
        <v>Dr. Arvind Chen</v>
      </c>
    </row>
    <row r="442" spans="1:21" x14ac:dyDescent="0.35">
      <c r="A442" s="2" t="s">
        <v>463</v>
      </c>
      <c r="B442" s="2" t="s">
        <v>2432</v>
      </c>
      <c r="C442" s="2">
        <v>51</v>
      </c>
      <c r="D442" s="2" t="s">
        <v>29</v>
      </c>
      <c r="E442" s="2" t="s">
        <v>119</v>
      </c>
      <c r="F442" s="2" t="s">
        <v>2518</v>
      </c>
      <c r="G442" s="2" t="s">
        <v>80</v>
      </c>
      <c r="H442" s="2">
        <v>173</v>
      </c>
      <c r="I442" s="2">
        <v>127</v>
      </c>
      <c r="J442" s="2" t="s">
        <v>36</v>
      </c>
      <c r="K442" s="2" t="s">
        <v>19</v>
      </c>
      <c r="L442" s="2" t="s">
        <v>69</v>
      </c>
      <c r="M442" s="3">
        <v>44221</v>
      </c>
      <c r="N442" s="4">
        <f>Table1_3[[#This Row],[Admission_Date]]</f>
        <v>44221</v>
      </c>
      <c r="O442" s="5">
        <f>Table1_3[[#This Row],[Admission_Date]]</f>
        <v>44221</v>
      </c>
      <c r="P442" s="2">
        <v>5436.63</v>
      </c>
      <c r="Q442" s="2">
        <f t="shared" si="6"/>
        <v>107</v>
      </c>
      <c r="R442" s="2" t="s">
        <v>2523</v>
      </c>
      <c r="S442" s="2">
        <v>42.433759898426274</v>
      </c>
      <c r="T442" s="2" t="s">
        <v>2522</v>
      </c>
      <c r="U442" t="str">
        <f>INDEX(Table2[Doctor_Name],MATCH(Table1_3[[#This Row],[Department]],Table2[Department],0))</f>
        <v>Dr. Vikram Wang</v>
      </c>
    </row>
    <row r="443" spans="1:21" x14ac:dyDescent="0.35">
      <c r="A443" s="2" t="s">
        <v>1132</v>
      </c>
      <c r="B443" s="2" t="s">
        <v>2482</v>
      </c>
      <c r="C443" s="2">
        <v>14</v>
      </c>
      <c r="D443" s="2" t="s">
        <v>52</v>
      </c>
      <c r="E443" s="2" t="s">
        <v>59</v>
      </c>
      <c r="F443" s="2" t="s">
        <v>134</v>
      </c>
      <c r="G443" s="2" t="s">
        <v>160</v>
      </c>
      <c r="H443" s="2">
        <v>146</v>
      </c>
      <c r="I443" s="2">
        <v>42.2</v>
      </c>
      <c r="J443" s="2" t="s">
        <v>65</v>
      </c>
      <c r="K443" s="2" t="s">
        <v>19</v>
      </c>
      <c r="L443" s="2" t="s">
        <v>107</v>
      </c>
      <c r="M443" s="3">
        <v>44784</v>
      </c>
      <c r="N443" s="4">
        <f>Table1_3[[#This Row],[Admission_Date]]</f>
        <v>44784</v>
      </c>
      <c r="O443" s="5">
        <f>Table1_3[[#This Row],[Admission_Date]]</f>
        <v>44784</v>
      </c>
      <c r="P443" s="2">
        <v>46123.7</v>
      </c>
      <c r="Q443" s="2">
        <f t="shared" si="6"/>
        <v>1</v>
      </c>
      <c r="R443" s="2" t="s">
        <v>2521</v>
      </c>
      <c r="S443" s="2">
        <v>19.797335334959659</v>
      </c>
      <c r="T443" s="2" t="s">
        <v>1567</v>
      </c>
      <c r="U443" t="str">
        <f>INDEX(Table2[Doctor_Name],MATCH(Table1_3[[#This Row],[Department]],Table2[Department],0))</f>
        <v>Dr. Anita Sanchez</v>
      </c>
    </row>
    <row r="444" spans="1:21" x14ac:dyDescent="0.35">
      <c r="A444" s="2" t="s">
        <v>991</v>
      </c>
      <c r="B444" s="2" t="s">
        <v>2470</v>
      </c>
      <c r="C444" s="2">
        <v>14</v>
      </c>
      <c r="D444" s="2" t="s">
        <v>29</v>
      </c>
      <c r="E444" s="2" t="s">
        <v>146</v>
      </c>
      <c r="F444" s="2" t="s">
        <v>79</v>
      </c>
      <c r="G444" s="2" t="s">
        <v>124</v>
      </c>
      <c r="H444" s="2">
        <v>152.1</v>
      </c>
      <c r="I444" s="2">
        <v>94</v>
      </c>
      <c r="J444" s="2" t="s">
        <v>65</v>
      </c>
      <c r="K444" s="2" t="s">
        <v>19</v>
      </c>
      <c r="L444" s="2" t="s">
        <v>107</v>
      </c>
      <c r="M444" s="3">
        <v>44568</v>
      </c>
      <c r="N444" s="4">
        <f>Table1_3[[#This Row],[Admission_Date]]</f>
        <v>44568</v>
      </c>
      <c r="O444" s="5">
        <f>Table1_3[[#This Row],[Admission_Date]]</f>
        <v>44568</v>
      </c>
      <c r="P444" s="2">
        <v>21549.61</v>
      </c>
      <c r="Q444" s="2">
        <f t="shared" si="6"/>
        <v>83</v>
      </c>
      <c r="R444" s="2" t="s">
        <v>2521</v>
      </c>
      <c r="S444" s="2">
        <v>40.632114672472746</v>
      </c>
      <c r="T444" s="2" t="s">
        <v>2522</v>
      </c>
      <c r="U444" t="str">
        <f>INDEX(Table2[Doctor_Name],MATCH(Table1_3[[#This Row],[Department]],Table2[Department],0))</f>
        <v>Dr. Anita Sanchez</v>
      </c>
    </row>
    <row r="445" spans="1:21" x14ac:dyDescent="0.35">
      <c r="A445" s="2" t="s">
        <v>1334</v>
      </c>
      <c r="B445" s="2" t="s">
        <v>1335</v>
      </c>
      <c r="C445" s="2">
        <v>64</v>
      </c>
      <c r="D445" s="2" t="s">
        <v>29</v>
      </c>
      <c r="E445" s="2" t="s">
        <v>146</v>
      </c>
      <c r="F445" s="2" t="s">
        <v>273</v>
      </c>
      <c r="G445" s="2" t="s">
        <v>36</v>
      </c>
      <c r="H445" s="2">
        <v>182.1</v>
      </c>
      <c r="I445" s="2">
        <v>128</v>
      </c>
      <c r="J445" s="2" t="s">
        <v>65</v>
      </c>
      <c r="K445" s="2" t="s">
        <v>19</v>
      </c>
      <c r="L445" s="2" t="s">
        <v>103</v>
      </c>
      <c r="M445" s="3">
        <v>45111</v>
      </c>
      <c r="N445" s="4">
        <f>Table1_3[[#This Row],[Admission_Date]]</f>
        <v>45111</v>
      </c>
      <c r="O445" s="5">
        <f>Table1_3[[#This Row],[Admission_Date]]</f>
        <v>45111</v>
      </c>
      <c r="P445" s="2">
        <v>39944.11</v>
      </c>
      <c r="Q445" s="2">
        <f t="shared" si="6"/>
        <v>31</v>
      </c>
      <c r="R445" s="2" t="s">
        <v>2525</v>
      </c>
      <c r="S445" s="2">
        <v>38.600246498761628</v>
      </c>
      <c r="T445" s="2" t="s">
        <v>2522</v>
      </c>
      <c r="U445" t="str">
        <f>INDEX(Table2[Doctor_Name],MATCH(Table1_3[[#This Row],[Department]],Table2[Department],0))</f>
        <v>Dr. Suresh Johnson</v>
      </c>
    </row>
    <row r="446" spans="1:21" x14ac:dyDescent="0.35">
      <c r="A446" s="2" t="s">
        <v>101</v>
      </c>
      <c r="B446" s="2" t="s">
        <v>2407</v>
      </c>
      <c r="C446" s="2">
        <v>17</v>
      </c>
      <c r="D446" s="2" t="s">
        <v>29</v>
      </c>
      <c r="E446" s="2" t="s">
        <v>130</v>
      </c>
      <c r="F446" s="2" t="s">
        <v>2518</v>
      </c>
      <c r="G446" s="2" t="s">
        <v>102</v>
      </c>
      <c r="H446" s="2">
        <v>184.3</v>
      </c>
      <c r="I446" s="2">
        <v>97</v>
      </c>
      <c r="J446" s="2" t="s">
        <v>36</v>
      </c>
      <c r="K446" s="2" t="s">
        <v>65</v>
      </c>
      <c r="L446" s="2" t="s">
        <v>103</v>
      </c>
      <c r="M446" s="3">
        <v>45143</v>
      </c>
      <c r="N446" s="4">
        <f>Table1_3[[#This Row],[Admission_Date]]</f>
        <v>45143</v>
      </c>
      <c r="O446" s="5">
        <f>Table1_3[[#This Row],[Admission_Date]]</f>
        <v>45143</v>
      </c>
      <c r="P446" s="2">
        <v>25106.560000000001</v>
      </c>
      <c r="Q446" s="2">
        <f t="shared" si="6"/>
        <v>31</v>
      </c>
      <c r="R446" s="2" t="s">
        <v>2521</v>
      </c>
      <c r="S446" s="2">
        <v>28.557557757660557</v>
      </c>
      <c r="T446" s="2" t="s">
        <v>2526</v>
      </c>
      <c r="U446" t="str">
        <f>INDEX(Table2[Doctor_Name],MATCH(Table1_3[[#This Row],[Department]],Table2[Department],0))</f>
        <v>Dr. Suresh Johnson</v>
      </c>
    </row>
    <row r="447" spans="1:21" x14ac:dyDescent="0.35">
      <c r="A447" s="2" t="s">
        <v>735</v>
      </c>
      <c r="B447" s="2" t="s">
        <v>736</v>
      </c>
      <c r="C447" s="2">
        <v>74</v>
      </c>
      <c r="D447" s="2" t="s">
        <v>29</v>
      </c>
      <c r="E447" s="2" t="s">
        <v>89</v>
      </c>
      <c r="F447" s="2" t="s">
        <v>2517</v>
      </c>
      <c r="G447" s="2" t="s">
        <v>25</v>
      </c>
      <c r="H447" s="2">
        <v>190</v>
      </c>
      <c r="I447" s="2" t="s">
        <v>2519</v>
      </c>
      <c r="J447" s="2" t="s">
        <v>19</v>
      </c>
      <c r="K447" s="2" t="s">
        <v>65</v>
      </c>
      <c r="L447" s="2" t="s">
        <v>175</v>
      </c>
      <c r="M447" s="3">
        <v>45167</v>
      </c>
      <c r="N447" s="4">
        <f>Table1_3[[#This Row],[Admission_Date]]</f>
        <v>45167</v>
      </c>
      <c r="O447" s="5">
        <f>Table1_3[[#This Row],[Admission_Date]]</f>
        <v>45167</v>
      </c>
      <c r="P447" s="2">
        <v>46084.75</v>
      </c>
      <c r="Q447" s="2">
        <f t="shared" si="6"/>
        <v>1</v>
      </c>
      <c r="R447" s="2" t="s">
        <v>2525</v>
      </c>
      <c r="S447" s="2" t="s">
        <v>36</v>
      </c>
      <c r="T447" s="2" t="s">
        <v>36</v>
      </c>
      <c r="U447" t="str">
        <f>INDEX(Table2[Doctor_Name],MATCH(Table1_3[[#This Row],[Department]],Table2[Department],0))</f>
        <v>Dr. Arvind Wilson</v>
      </c>
    </row>
    <row r="448" spans="1:21" x14ac:dyDescent="0.35">
      <c r="A448" s="2" t="s">
        <v>1157</v>
      </c>
      <c r="B448" s="2" t="s">
        <v>1158</v>
      </c>
      <c r="C448" s="2">
        <v>71</v>
      </c>
      <c r="D448" s="2" t="s">
        <v>29</v>
      </c>
      <c r="E448" s="2" t="s">
        <v>130</v>
      </c>
      <c r="F448" s="2" t="s">
        <v>2518</v>
      </c>
      <c r="G448" s="2" t="s">
        <v>36</v>
      </c>
      <c r="H448" s="2">
        <v>176.4</v>
      </c>
      <c r="I448" s="2">
        <v>103.4</v>
      </c>
      <c r="J448" s="2" t="s">
        <v>36</v>
      </c>
      <c r="K448" s="2" t="s">
        <v>19</v>
      </c>
      <c r="L448" s="2" t="s">
        <v>55</v>
      </c>
      <c r="M448" s="3">
        <v>45066</v>
      </c>
      <c r="N448" s="4">
        <f>Table1_3[[#This Row],[Admission_Date]]</f>
        <v>45066</v>
      </c>
      <c r="O448" s="5">
        <f>Table1_3[[#This Row],[Admission_Date]]</f>
        <v>45066</v>
      </c>
      <c r="P448" s="2">
        <v>3177.13</v>
      </c>
      <c r="Q448" s="2">
        <f t="shared" si="6"/>
        <v>42</v>
      </c>
      <c r="R448" s="2" t="s">
        <v>2525</v>
      </c>
      <c r="S448" s="2">
        <v>33.229467145890858</v>
      </c>
      <c r="T448" s="2" t="s">
        <v>2522</v>
      </c>
      <c r="U448" t="str">
        <f>INDEX(Table2[Doctor_Name],MATCH(Table1_3[[#This Row],[Department]],Table2[Department],0))</f>
        <v>Dr. Sunita Sanchez</v>
      </c>
    </row>
    <row r="449" spans="1:21" x14ac:dyDescent="0.35">
      <c r="A449" s="2" t="s">
        <v>471</v>
      </c>
      <c r="B449" s="2" t="s">
        <v>2433</v>
      </c>
      <c r="C449" s="2">
        <v>11</v>
      </c>
      <c r="D449" s="2" t="s">
        <v>138</v>
      </c>
      <c r="E449" s="2" t="s">
        <v>45</v>
      </c>
      <c r="F449" s="2" t="s">
        <v>273</v>
      </c>
      <c r="G449" s="2" t="s">
        <v>74</v>
      </c>
      <c r="H449" s="2">
        <v>158.6</v>
      </c>
      <c r="I449" s="2">
        <v>52.6</v>
      </c>
      <c r="J449" s="2" t="s">
        <v>65</v>
      </c>
      <c r="K449" s="2" t="s">
        <v>19</v>
      </c>
      <c r="L449" s="2" t="s">
        <v>55</v>
      </c>
      <c r="M449" s="3">
        <v>44887</v>
      </c>
      <c r="N449" s="4">
        <f>Table1_3[[#This Row],[Admission_Date]]</f>
        <v>44887</v>
      </c>
      <c r="O449" s="5">
        <f>Table1_3[[#This Row],[Admission_Date]]</f>
        <v>44887</v>
      </c>
      <c r="P449" s="2">
        <v>39179.15</v>
      </c>
      <c r="Q449" s="2">
        <f t="shared" si="6"/>
        <v>42</v>
      </c>
      <c r="R449" s="2" t="s">
        <v>2521</v>
      </c>
      <c r="S449" s="2">
        <v>20.911220340654122</v>
      </c>
      <c r="T449" s="2" t="s">
        <v>1567</v>
      </c>
      <c r="U449" t="str">
        <f>INDEX(Table2[Doctor_Name],MATCH(Table1_3[[#This Row],[Department]],Table2[Department],0))</f>
        <v>Dr. Sunita Sanchez</v>
      </c>
    </row>
    <row r="450" spans="1:21" x14ac:dyDescent="0.35">
      <c r="A450" s="2" t="s">
        <v>515</v>
      </c>
      <c r="B450" s="2" t="s">
        <v>516</v>
      </c>
      <c r="C450" s="2">
        <v>21</v>
      </c>
      <c r="D450" s="2" t="s">
        <v>29</v>
      </c>
      <c r="E450" s="2" t="s">
        <v>45</v>
      </c>
      <c r="F450" s="2" t="s">
        <v>36</v>
      </c>
      <c r="G450" s="2" t="s">
        <v>191</v>
      </c>
      <c r="H450" s="2">
        <v>173</v>
      </c>
      <c r="I450" s="2">
        <v>85</v>
      </c>
      <c r="J450" s="2" t="s">
        <v>65</v>
      </c>
      <c r="K450" s="2" t="s">
        <v>19</v>
      </c>
      <c r="L450" s="2" t="s">
        <v>107</v>
      </c>
      <c r="M450" s="3">
        <v>44415</v>
      </c>
      <c r="N450" s="4">
        <f>Table1_3[[#This Row],[Admission_Date]]</f>
        <v>44415</v>
      </c>
      <c r="O450" s="5">
        <f>Table1_3[[#This Row],[Admission_Date]]</f>
        <v>44415</v>
      </c>
      <c r="P450" s="2">
        <v>19189.23</v>
      </c>
      <c r="Q450" s="2">
        <f t="shared" ref="Q450:Q513" si="7">SUMPRODUCT(($L$2:$L$5000=L450)*($O$2:$O$5000&gt;P450))+1</f>
        <v>83</v>
      </c>
      <c r="R450" s="2" t="s">
        <v>2527</v>
      </c>
      <c r="S450" s="2">
        <v>28.400547963513649</v>
      </c>
      <c r="T450" s="2" t="s">
        <v>2526</v>
      </c>
      <c r="U450" t="str">
        <f>INDEX(Table2[Doctor_Name],MATCH(Table1_3[[#This Row],[Department]],Table2[Department],0))</f>
        <v>Dr. Anita Sanchez</v>
      </c>
    </row>
    <row r="451" spans="1:21" x14ac:dyDescent="0.35">
      <c r="A451" s="2" t="s">
        <v>859</v>
      </c>
      <c r="B451" s="2" t="s">
        <v>860</v>
      </c>
      <c r="C451" s="2">
        <v>72</v>
      </c>
      <c r="D451" s="2" t="s">
        <v>52</v>
      </c>
      <c r="E451" s="2" t="s">
        <v>45</v>
      </c>
      <c r="F451" s="2" t="s">
        <v>2517</v>
      </c>
      <c r="G451" s="2" t="s">
        <v>160</v>
      </c>
      <c r="H451" s="2">
        <v>167</v>
      </c>
      <c r="I451" s="2">
        <v>112.3</v>
      </c>
      <c r="J451" s="2" t="s">
        <v>65</v>
      </c>
      <c r="K451" s="2" t="s">
        <v>19</v>
      </c>
      <c r="L451" s="2" t="s">
        <v>69</v>
      </c>
      <c r="M451" s="3">
        <v>44235</v>
      </c>
      <c r="N451" s="4">
        <f>Table1_3[[#This Row],[Admission_Date]]</f>
        <v>44235</v>
      </c>
      <c r="O451" s="5">
        <f>Table1_3[[#This Row],[Admission_Date]]</f>
        <v>44235</v>
      </c>
      <c r="P451" s="2">
        <v>18453.73</v>
      </c>
      <c r="Q451" s="2">
        <f t="shared" si="7"/>
        <v>107</v>
      </c>
      <c r="R451" s="2" t="s">
        <v>2525</v>
      </c>
      <c r="S451" s="2">
        <v>40.266771845530499</v>
      </c>
      <c r="T451" s="2" t="s">
        <v>2522</v>
      </c>
      <c r="U451" t="str">
        <f>INDEX(Table2[Doctor_Name],MATCH(Table1_3[[#This Row],[Department]],Table2[Department],0))</f>
        <v>Dr. Vikram Wang</v>
      </c>
    </row>
    <row r="452" spans="1:21" x14ac:dyDescent="0.35">
      <c r="A452" s="2" t="s">
        <v>1357</v>
      </c>
      <c r="B452" s="2" t="s">
        <v>2501</v>
      </c>
      <c r="C452" s="2">
        <v>2</v>
      </c>
      <c r="D452" s="2" t="s">
        <v>29</v>
      </c>
      <c r="E452" s="2" t="s">
        <v>59</v>
      </c>
      <c r="F452" s="2" t="s">
        <v>2518</v>
      </c>
      <c r="G452" s="2" t="s">
        <v>18</v>
      </c>
      <c r="H452" s="2">
        <v>193.2</v>
      </c>
      <c r="I452" s="2">
        <v>128</v>
      </c>
      <c r="J452" s="2" t="s">
        <v>36</v>
      </c>
      <c r="K452" s="2" t="s">
        <v>65</v>
      </c>
      <c r="L452" s="2" t="s">
        <v>69</v>
      </c>
      <c r="M452" s="3">
        <v>44443</v>
      </c>
      <c r="N452" s="4">
        <f>Table1_3[[#This Row],[Admission_Date]]</f>
        <v>44443</v>
      </c>
      <c r="O452" s="5">
        <f>Table1_3[[#This Row],[Admission_Date]]</f>
        <v>44443</v>
      </c>
      <c r="P452" s="2">
        <v>5113.9399999999996</v>
      </c>
      <c r="Q452" s="2">
        <f t="shared" si="7"/>
        <v>107</v>
      </c>
      <c r="R452" s="2" t="s">
        <v>2521</v>
      </c>
      <c r="S452" s="2">
        <v>34.292229809378071</v>
      </c>
      <c r="T452" s="2" t="s">
        <v>2522</v>
      </c>
      <c r="U452" t="str">
        <f>INDEX(Table2[Doctor_Name],MATCH(Table1_3[[#This Row],[Department]],Table2[Department],0))</f>
        <v>Dr. Vikram Wang</v>
      </c>
    </row>
    <row r="453" spans="1:21" x14ac:dyDescent="0.35">
      <c r="A453" s="2" t="s">
        <v>817</v>
      </c>
      <c r="B453" s="2" t="s">
        <v>2459</v>
      </c>
      <c r="C453" s="2">
        <v>93</v>
      </c>
      <c r="D453" s="2" t="s">
        <v>138</v>
      </c>
      <c r="E453" s="2" t="s">
        <v>89</v>
      </c>
      <c r="F453" s="2" t="s">
        <v>134</v>
      </c>
      <c r="G453" s="2" t="s">
        <v>102</v>
      </c>
      <c r="H453" s="2">
        <v>176</v>
      </c>
      <c r="I453" s="2">
        <v>110</v>
      </c>
      <c r="J453" s="2" t="s">
        <v>36</v>
      </c>
      <c r="K453" s="2" t="s">
        <v>19</v>
      </c>
      <c r="L453" s="2" t="s">
        <v>31</v>
      </c>
      <c r="M453" s="3">
        <v>44273</v>
      </c>
      <c r="N453" s="4">
        <f>Table1_3[[#This Row],[Admission_Date]]</f>
        <v>44273</v>
      </c>
      <c r="O453" s="5">
        <f>Table1_3[[#This Row],[Admission_Date]]</f>
        <v>44273</v>
      </c>
      <c r="P453" s="2">
        <v>8480.5400000000009</v>
      </c>
      <c r="Q453" s="2">
        <f t="shared" si="7"/>
        <v>37</v>
      </c>
      <c r="R453" s="2" t="s">
        <v>2525</v>
      </c>
      <c r="S453" s="2">
        <v>35.51136363636364</v>
      </c>
      <c r="T453" s="2" t="s">
        <v>2522</v>
      </c>
      <c r="U453" t="str">
        <f>INDEX(Table2[Doctor_Name],MATCH(Table1_3[[#This Row],[Department]],Table2[Department],0))</f>
        <v>Dr. Arvind Chen</v>
      </c>
    </row>
    <row r="454" spans="1:21" x14ac:dyDescent="0.35">
      <c r="A454" s="2" t="s">
        <v>768</v>
      </c>
      <c r="B454" s="2" t="s">
        <v>769</v>
      </c>
      <c r="C454" s="2">
        <v>84</v>
      </c>
      <c r="D454" s="2" t="s">
        <v>29</v>
      </c>
      <c r="E454" s="2" t="s">
        <v>130</v>
      </c>
      <c r="F454" s="2" t="s">
        <v>120</v>
      </c>
      <c r="G454" s="2" t="s">
        <v>160</v>
      </c>
      <c r="H454" s="2">
        <v>150</v>
      </c>
      <c r="I454" s="2">
        <v>51.8</v>
      </c>
      <c r="J454" s="2" t="s">
        <v>65</v>
      </c>
      <c r="K454" s="2" t="s">
        <v>65</v>
      </c>
      <c r="L454" s="2" t="s">
        <v>199</v>
      </c>
      <c r="M454" s="3">
        <v>44963</v>
      </c>
      <c r="N454" s="4">
        <f>Table1_3[[#This Row],[Admission_Date]]</f>
        <v>44963</v>
      </c>
      <c r="O454" s="5">
        <f>Table1_3[[#This Row],[Admission_Date]]</f>
        <v>44963</v>
      </c>
      <c r="P454" s="2">
        <v>44588.66</v>
      </c>
      <c r="Q454" s="2">
        <f t="shared" si="7"/>
        <v>21</v>
      </c>
      <c r="R454" s="2" t="s">
        <v>2525</v>
      </c>
      <c r="S454" s="2">
        <v>23.022222222222222</v>
      </c>
      <c r="T454" s="2" t="s">
        <v>1567</v>
      </c>
      <c r="U454" t="str">
        <f>INDEX(Table2[Doctor_Name],MATCH(Table1_3[[#This Row],[Department]],Table2[Department],0))</f>
        <v>Dr. Vikram Torres</v>
      </c>
    </row>
    <row r="455" spans="1:21" x14ac:dyDescent="0.35">
      <c r="A455" s="2" t="s">
        <v>1280</v>
      </c>
      <c r="B455" s="2" t="s">
        <v>2494</v>
      </c>
      <c r="C455" s="2">
        <v>81</v>
      </c>
      <c r="D455" s="2" t="s">
        <v>138</v>
      </c>
      <c r="E455" s="2" t="s">
        <v>45</v>
      </c>
      <c r="F455" s="2" t="s">
        <v>273</v>
      </c>
      <c r="G455" s="2" t="s">
        <v>208</v>
      </c>
      <c r="H455" s="2">
        <v>191</v>
      </c>
      <c r="I455" s="2">
        <v>81</v>
      </c>
      <c r="J455" s="2" t="s">
        <v>19</v>
      </c>
      <c r="K455" s="2" t="s">
        <v>19</v>
      </c>
      <c r="L455" s="2" t="s">
        <v>69</v>
      </c>
      <c r="M455" s="3">
        <v>44770</v>
      </c>
      <c r="N455" s="4">
        <f>Table1_3[[#This Row],[Admission_Date]]</f>
        <v>44770</v>
      </c>
      <c r="O455" s="5">
        <f>Table1_3[[#This Row],[Admission_Date]]</f>
        <v>44770</v>
      </c>
      <c r="P455" s="2">
        <v>18484.75</v>
      </c>
      <c r="Q455" s="2">
        <f t="shared" si="7"/>
        <v>107</v>
      </c>
      <c r="R455" s="2" t="s">
        <v>2525</v>
      </c>
      <c r="S455" s="2">
        <v>22.203338724267429</v>
      </c>
      <c r="T455" s="2" t="s">
        <v>1567</v>
      </c>
      <c r="U455" t="str">
        <f>INDEX(Table2[Doctor_Name],MATCH(Table1_3[[#This Row],[Department]],Table2[Department],0))</f>
        <v>Dr. Vikram Wang</v>
      </c>
    </row>
    <row r="456" spans="1:21" x14ac:dyDescent="0.35">
      <c r="A456" s="2" t="s">
        <v>651</v>
      </c>
      <c r="B456" s="2" t="s">
        <v>652</v>
      </c>
      <c r="C456" s="2">
        <v>57</v>
      </c>
      <c r="D456" s="2" t="s">
        <v>29</v>
      </c>
      <c r="E456" s="2" t="s">
        <v>89</v>
      </c>
      <c r="F456" s="2" t="s">
        <v>134</v>
      </c>
      <c r="G456" s="2" t="s">
        <v>74</v>
      </c>
      <c r="H456" s="2">
        <v>161</v>
      </c>
      <c r="I456" s="2">
        <v>117</v>
      </c>
      <c r="J456" s="2" t="s">
        <v>65</v>
      </c>
      <c r="K456" s="2" t="s">
        <v>65</v>
      </c>
      <c r="L456" s="2" t="s">
        <v>175</v>
      </c>
      <c r="M456" s="3">
        <v>44691</v>
      </c>
      <c r="N456" s="4">
        <f>Table1_3[[#This Row],[Admission_Date]]</f>
        <v>44691</v>
      </c>
      <c r="O456" s="5">
        <f>Table1_3[[#This Row],[Admission_Date]]</f>
        <v>44691</v>
      </c>
      <c r="P456" s="2">
        <v>4632.78</v>
      </c>
      <c r="Q456" s="2">
        <f t="shared" si="7"/>
        <v>38</v>
      </c>
      <c r="R456" s="2" t="s">
        <v>2523</v>
      </c>
      <c r="S456" s="2">
        <v>45.137147486593875</v>
      </c>
      <c r="T456" s="2" t="s">
        <v>2522</v>
      </c>
      <c r="U456" t="str">
        <f>INDEX(Table2[Doctor_Name],MATCH(Table1_3[[#This Row],[Department]],Table2[Department],0))</f>
        <v>Dr. Arvind Wilson</v>
      </c>
    </row>
    <row r="457" spans="1:21" x14ac:dyDescent="0.35">
      <c r="A457" s="2" t="s">
        <v>1453</v>
      </c>
      <c r="B457" s="2" t="s">
        <v>1454</v>
      </c>
      <c r="C457" s="2">
        <v>95</v>
      </c>
      <c r="D457" s="2" t="s">
        <v>29</v>
      </c>
      <c r="E457" s="2" t="s">
        <v>130</v>
      </c>
      <c r="F457" s="2" t="s">
        <v>273</v>
      </c>
      <c r="G457" s="2" t="s">
        <v>208</v>
      </c>
      <c r="H457" s="2">
        <v>160</v>
      </c>
      <c r="I457" s="2">
        <v>117</v>
      </c>
      <c r="J457" s="2" t="s">
        <v>65</v>
      </c>
      <c r="K457" s="2" t="s">
        <v>65</v>
      </c>
      <c r="L457" s="2" t="s">
        <v>143</v>
      </c>
      <c r="M457" s="3">
        <v>44507</v>
      </c>
      <c r="N457" s="4">
        <f>Table1_3[[#This Row],[Admission_Date]]</f>
        <v>44507</v>
      </c>
      <c r="O457" s="5">
        <f>Table1_3[[#This Row],[Admission_Date]]</f>
        <v>44507</v>
      </c>
      <c r="P457" s="2">
        <v>23560.94</v>
      </c>
      <c r="Q457" s="2">
        <f t="shared" si="7"/>
        <v>35</v>
      </c>
      <c r="R457" s="2" t="s">
        <v>2525</v>
      </c>
      <c r="S457" s="2">
        <v>45.703124999999993</v>
      </c>
      <c r="T457" s="2" t="s">
        <v>2522</v>
      </c>
      <c r="U457" t="str">
        <f>INDEX(Table2[Doctor_Name],MATCH(Table1_3[[#This Row],[Department]],Table2[Department],0))</f>
        <v>Dr. Neha Liu</v>
      </c>
    </row>
    <row r="458" spans="1:21" x14ac:dyDescent="0.35">
      <c r="A458" s="2" t="s">
        <v>1152</v>
      </c>
      <c r="B458" s="2" t="s">
        <v>1153</v>
      </c>
      <c r="C458" s="2">
        <v>51</v>
      </c>
      <c r="D458" s="2" t="s">
        <v>29</v>
      </c>
      <c r="E458" s="2" t="s">
        <v>217</v>
      </c>
      <c r="F458" s="2" t="s">
        <v>2518</v>
      </c>
      <c r="G458" s="2" t="s">
        <v>102</v>
      </c>
      <c r="H458" s="2">
        <v>169</v>
      </c>
      <c r="I458" s="2">
        <v>107</v>
      </c>
      <c r="J458" s="2" t="s">
        <v>19</v>
      </c>
      <c r="K458" s="2" t="s">
        <v>65</v>
      </c>
      <c r="L458" s="2" t="s">
        <v>69</v>
      </c>
      <c r="M458" s="3">
        <v>44515</v>
      </c>
      <c r="N458" s="4">
        <f>Table1_3[[#This Row],[Admission_Date]]</f>
        <v>44515</v>
      </c>
      <c r="O458" s="5">
        <f>Table1_3[[#This Row],[Admission_Date]]</f>
        <v>44515</v>
      </c>
      <c r="P458" s="2">
        <v>7702.93</v>
      </c>
      <c r="Q458" s="2">
        <f t="shared" si="7"/>
        <v>107</v>
      </c>
      <c r="R458" s="2" t="s">
        <v>2523</v>
      </c>
      <c r="S458" s="2">
        <v>37.463674241098005</v>
      </c>
      <c r="T458" s="2" t="s">
        <v>2522</v>
      </c>
      <c r="U458" t="str">
        <f>INDEX(Table2[Doctor_Name],MATCH(Table1_3[[#This Row],[Department]],Table2[Department],0))</f>
        <v>Dr. Vikram Wang</v>
      </c>
    </row>
    <row r="459" spans="1:21" x14ac:dyDescent="0.35">
      <c r="A459" s="2" t="s">
        <v>565</v>
      </c>
      <c r="B459" s="2" t="s">
        <v>2438</v>
      </c>
      <c r="C459" s="2">
        <v>56</v>
      </c>
      <c r="D459" s="2" t="s">
        <v>138</v>
      </c>
      <c r="E459" s="2" t="s">
        <v>111</v>
      </c>
      <c r="F459" s="2" t="s">
        <v>141</v>
      </c>
      <c r="G459" s="2" t="s">
        <v>40</v>
      </c>
      <c r="H459" s="2">
        <v>184.8</v>
      </c>
      <c r="I459" s="2">
        <v>97</v>
      </c>
      <c r="J459" s="2" t="s">
        <v>19</v>
      </c>
      <c r="K459" s="2" t="s">
        <v>65</v>
      </c>
      <c r="L459" s="2" t="s">
        <v>107</v>
      </c>
      <c r="M459" s="3">
        <v>45203</v>
      </c>
      <c r="N459" s="4">
        <f>Table1_3[[#This Row],[Admission_Date]]</f>
        <v>45203</v>
      </c>
      <c r="O459" s="5">
        <f>Table1_3[[#This Row],[Admission_Date]]</f>
        <v>45203</v>
      </c>
      <c r="P459" s="2">
        <v>15267.67</v>
      </c>
      <c r="Q459" s="2">
        <f t="shared" si="7"/>
        <v>83</v>
      </c>
      <c r="R459" s="2" t="s">
        <v>2523</v>
      </c>
      <c r="S459" s="2">
        <v>28.403234572065738</v>
      </c>
      <c r="T459" s="2" t="s">
        <v>2526</v>
      </c>
      <c r="U459" t="str">
        <f>INDEX(Table2[Doctor_Name],MATCH(Table1_3[[#This Row],[Department]],Table2[Department],0))</f>
        <v>Dr. Anita Sanchez</v>
      </c>
    </row>
    <row r="460" spans="1:21" x14ac:dyDescent="0.35">
      <c r="A460" s="2" t="s">
        <v>154</v>
      </c>
      <c r="B460" s="2" t="s">
        <v>2411</v>
      </c>
      <c r="C460" s="2">
        <v>55</v>
      </c>
      <c r="D460" s="2" t="s">
        <v>138</v>
      </c>
      <c r="E460" s="2" t="s">
        <v>130</v>
      </c>
      <c r="F460" s="2" t="s">
        <v>79</v>
      </c>
      <c r="G460" s="2" t="s">
        <v>90</v>
      </c>
      <c r="H460" s="2">
        <v>181.5</v>
      </c>
      <c r="I460" s="2">
        <v>102</v>
      </c>
      <c r="J460" s="2" t="s">
        <v>36</v>
      </c>
      <c r="K460" s="2" t="s">
        <v>19</v>
      </c>
      <c r="L460" s="2" t="s">
        <v>107</v>
      </c>
      <c r="M460" s="3">
        <v>45141</v>
      </c>
      <c r="N460" s="4">
        <f>Table1_3[[#This Row],[Admission_Date]]</f>
        <v>45141</v>
      </c>
      <c r="O460" s="5">
        <f>Table1_3[[#This Row],[Admission_Date]]</f>
        <v>45141</v>
      </c>
      <c r="P460" s="2">
        <v>28264.97</v>
      </c>
      <c r="Q460" s="2">
        <f t="shared" si="7"/>
        <v>83</v>
      </c>
      <c r="R460" s="2" t="s">
        <v>2523</v>
      </c>
      <c r="S460" s="2">
        <v>30.963276643216538</v>
      </c>
      <c r="T460" s="2" t="s">
        <v>2522</v>
      </c>
      <c r="U460" t="str">
        <f>INDEX(Table2[Doctor_Name],MATCH(Table1_3[[#This Row],[Department]],Table2[Department],0))</f>
        <v>Dr. Anita Sanchez</v>
      </c>
    </row>
    <row r="461" spans="1:21" x14ac:dyDescent="0.35">
      <c r="A461" s="2" t="s">
        <v>918</v>
      </c>
      <c r="B461" s="2" t="s">
        <v>2464</v>
      </c>
      <c r="C461" s="2">
        <v>94</v>
      </c>
      <c r="D461" s="2" t="s">
        <v>138</v>
      </c>
      <c r="E461" s="2" t="s">
        <v>111</v>
      </c>
      <c r="F461" s="2" t="s">
        <v>17</v>
      </c>
      <c r="G461" s="2" t="s">
        <v>35</v>
      </c>
      <c r="H461" s="2">
        <v>193.2</v>
      </c>
      <c r="I461" s="2">
        <v>68.5</v>
      </c>
      <c r="J461" s="2" t="s">
        <v>19</v>
      </c>
      <c r="K461" s="2" t="s">
        <v>19</v>
      </c>
      <c r="L461" s="2" t="s">
        <v>55</v>
      </c>
      <c r="M461" s="3">
        <v>44409</v>
      </c>
      <c r="N461" s="4">
        <f>Table1_3[[#This Row],[Admission_Date]]</f>
        <v>44409</v>
      </c>
      <c r="O461" s="5">
        <f>Table1_3[[#This Row],[Admission_Date]]</f>
        <v>44409</v>
      </c>
      <c r="P461" s="2">
        <v>47194.53</v>
      </c>
      <c r="Q461" s="2">
        <f t="shared" si="7"/>
        <v>1</v>
      </c>
      <c r="R461" s="2" t="s">
        <v>2525</v>
      </c>
      <c r="S461" s="2">
        <v>18.351701108924981</v>
      </c>
      <c r="T461" s="2" t="s">
        <v>2524</v>
      </c>
      <c r="U461" t="str">
        <f>INDEX(Table2[Doctor_Name],MATCH(Table1_3[[#This Row],[Department]],Table2[Department],0))</f>
        <v>Dr. Sunita Sanchez</v>
      </c>
    </row>
    <row r="462" spans="1:21" x14ac:dyDescent="0.35">
      <c r="A462" s="2" t="s">
        <v>321</v>
      </c>
      <c r="B462" s="2" t="s">
        <v>255</v>
      </c>
      <c r="C462" s="2">
        <v>25</v>
      </c>
      <c r="D462" s="2" t="s">
        <v>29</v>
      </c>
      <c r="E462" s="2" t="s">
        <v>89</v>
      </c>
      <c r="F462" s="2" t="s">
        <v>120</v>
      </c>
      <c r="G462" s="2" t="s">
        <v>124</v>
      </c>
      <c r="H462" s="2">
        <v>173.8</v>
      </c>
      <c r="I462" s="2">
        <v>92</v>
      </c>
      <c r="J462" s="2" t="s">
        <v>65</v>
      </c>
      <c r="K462" s="2" t="s">
        <v>65</v>
      </c>
      <c r="L462" s="2" t="s">
        <v>69</v>
      </c>
      <c r="M462" s="3">
        <v>44874</v>
      </c>
      <c r="N462" s="4">
        <f>Table1_3[[#This Row],[Admission_Date]]</f>
        <v>44874</v>
      </c>
      <c r="O462" s="5">
        <f>Table1_3[[#This Row],[Admission_Date]]</f>
        <v>44874</v>
      </c>
      <c r="P462" s="2">
        <v>25353.22</v>
      </c>
      <c r="Q462" s="2">
        <f t="shared" si="7"/>
        <v>107</v>
      </c>
      <c r="R462" s="2" t="s">
        <v>2527</v>
      </c>
      <c r="S462" s="2">
        <v>30.457081337622036</v>
      </c>
      <c r="T462" s="2" t="s">
        <v>2522</v>
      </c>
      <c r="U462" t="str">
        <f>INDEX(Table2[Doctor_Name],MATCH(Table1_3[[#This Row],[Department]],Table2[Department],0))</f>
        <v>Dr. Vikram Wang</v>
      </c>
    </row>
    <row r="463" spans="1:21" x14ac:dyDescent="0.35">
      <c r="A463" s="2" t="s">
        <v>196</v>
      </c>
      <c r="B463" s="2" t="s">
        <v>197</v>
      </c>
      <c r="C463" s="2">
        <v>70</v>
      </c>
      <c r="D463" s="2" t="s">
        <v>29</v>
      </c>
      <c r="E463" s="2" t="s">
        <v>78</v>
      </c>
      <c r="F463" s="2" t="s">
        <v>17</v>
      </c>
      <c r="G463" s="2" t="s">
        <v>198</v>
      </c>
      <c r="H463" s="2">
        <v>182.3</v>
      </c>
      <c r="I463" s="2">
        <v>93.5</v>
      </c>
      <c r="J463" s="2" t="s">
        <v>65</v>
      </c>
      <c r="K463" s="2" t="s">
        <v>19</v>
      </c>
      <c r="L463" s="2" t="s">
        <v>199</v>
      </c>
      <c r="M463" s="3">
        <v>45092</v>
      </c>
      <c r="N463" s="4">
        <f>Table1_3[[#This Row],[Admission_Date]]</f>
        <v>45092</v>
      </c>
      <c r="O463" s="5">
        <f>Table1_3[[#This Row],[Admission_Date]]</f>
        <v>45092</v>
      </c>
      <c r="P463" s="2">
        <v>14520.79</v>
      </c>
      <c r="Q463" s="2">
        <f t="shared" si="7"/>
        <v>34</v>
      </c>
      <c r="R463" s="2" t="s">
        <v>2525</v>
      </c>
      <c r="S463" s="2">
        <v>28.134439894455223</v>
      </c>
      <c r="T463" s="2" t="s">
        <v>2526</v>
      </c>
      <c r="U463" t="str">
        <f>INDEX(Table2[Doctor_Name],MATCH(Table1_3[[#This Row],[Department]],Table2[Department],0))</f>
        <v>Dr. Vikram Torres</v>
      </c>
    </row>
    <row r="464" spans="1:21" x14ac:dyDescent="0.35">
      <c r="A464" s="2" t="s">
        <v>1337</v>
      </c>
      <c r="B464" s="2" t="s">
        <v>2440</v>
      </c>
      <c r="C464" s="2" t="s">
        <v>2519</v>
      </c>
      <c r="D464" s="2" t="s">
        <v>29</v>
      </c>
      <c r="E464" s="2" t="s">
        <v>45</v>
      </c>
      <c r="F464" s="2" t="s">
        <v>36</v>
      </c>
      <c r="G464" s="2" t="s">
        <v>295</v>
      </c>
      <c r="H464" s="2">
        <v>182</v>
      </c>
      <c r="I464" s="2">
        <v>85</v>
      </c>
      <c r="J464" s="2" t="s">
        <v>36</v>
      </c>
      <c r="K464" s="2" t="s">
        <v>19</v>
      </c>
      <c r="L464" s="2" t="s">
        <v>199</v>
      </c>
      <c r="M464" s="3">
        <v>45058</v>
      </c>
      <c r="N464" s="4">
        <f>Table1_3[[#This Row],[Admission_Date]]</f>
        <v>45058</v>
      </c>
      <c r="O464" s="5">
        <f>Table1_3[[#This Row],[Admission_Date]]</f>
        <v>45058</v>
      </c>
      <c r="P464" s="2">
        <v>11532.53</v>
      </c>
      <c r="Q464" s="2">
        <f t="shared" si="7"/>
        <v>34</v>
      </c>
      <c r="R464" s="2" t="s">
        <v>36</v>
      </c>
      <c r="S464" s="2">
        <v>25.661152034778407</v>
      </c>
      <c r="T464" s="2" t="s">
        <v>2526</v>
      </c>
      <c r="U464" t="str">
        <f>INDEX(Table2[Doctor_Name],MATCH(Table1_3[[#This Row],[Department]],Table2[Department],0))</f>
        <v>Dr. Vikram Torres</v>
      </c>
    </row>
    <row r="465" spans="1:21" x14ac:dyDescent="0.35">
      <c r="A465" s="2" t="s">
        <v>1222</v>
      </c>
      <c r="B465" s="2" t="s">
        <v>311</v>
      </c>
      <c r="C465" s="2">
        <v>60</v>
      </c>
      <c r="D465" s="2" t="s">
        <v>29</v>
      </c>
      <c r="E465" s="2" t="s">
        <v>24</v>
      </c>
      <c r="F465" s="2" t="s">
        <v>2518</v>
      </c>
      <c r="G465" s="2" t="s">
        <v>35</v>
      </c>
      <c r="H465" s="2">
        <v>170.6</v>
      </c>
      <c r="I465" s="2">
        <v>99.3</v>
      </c>
      <c r="J465" s="2" t="s">
        <v>65</v>
      </c>
      <c r="K465" s="2" t="s">
        <v>36</v>
      </c>
      <c r="L465" s="2" t="s">
        <v>226</v>
      </c>
      <c r="M465" s="3">
        <v>44440</v>
      </c>
      <c r="N465" s="4">
        <f>Table1_3[[#This Row],[Admission_Date]]</f>
        <v>44440</v>
      </c>
      <c r="O465" s="5">
        <f>Table1_3[[#This Row],[Admission_Date]]</f>
        <v>44440</v>
      </c>
      <c r="P465" s="2">
        <v>0</v>
      </c>
      <c r="Q465" s="2">
        <f t="shared" si="7"/>
        <v>35</v>
      </c>
      <c r="R465" s="2" t="s">
        <v>2525</v>
      </c>
      <c r="S465" s="2">
        <v>34.118599412596602</v>
      </c>
      <c r="T465" s="2" t="s">
        <v>2522</v>
      </c>
      <c r="U465" t="str">
        <f>INDEX(Table2[Doctor_Name],MATCH(Table1_3[[#This Row],[Department]],Table2[Department],0))</f>
        <v>Dr. Vikram Khan</v>
      </c>
    </row>
    <row r="466" spans="1:21" x14ac:dyDescent="0.35">
      <c r="A466" s="2" t="s">
        <v>616</v>
      </c>
      <c r="B466" s="2" t="s">
        <v>617</v>
      </c>
      <c r="C466" s="2">
        <v>74</v>
      </c>
      <c r="D466" s="2" t="s">
        <v>29</v>
      </c>
      <c r="E466" s="2" t="s">
        <v>130</v>
      </c>
      <c r="F466" s="2" t="s">
        <v>2518</v>
      </c>
      <c r="G466" s="2" t="s">
        <v>40</v>
      </c>
      <c r="H466" s="2">
        <v>176.2</v>
      </c>
      <c r="I466" s="2">
        <v>92</v>
      </c>
      <c r="J466" s="2" t="s">
        <v>36</v>
      </c>
      <c r="K466" s="2" t="s">
        <v>19</v>
      </c>
      <c r="L466" s="2" t="s">
        <v>55</v>
      </c>
      <c r="M466" s="3">
        <v>44552</v>
      </c>
      <c r="N466" s="4">
        <f>Table1_3[[#This Row],[Admission_Date]]</f>
        <v>44552</v>
      </c>
      <c r="O466" s="5">
        <f>Table1_3[[#This Row],[Admission_Date]]</f>
        <v>44552</v>
      </c>
      <c r="P466" s="2">
        <v>45256.480000000003</v>
      </c>
      <c r="Q466" s="2">
        <f t="shared" si="7"/>
        <v>2</v>
      </c>
      <c r="R466" s="2" t="s">
        <v>2525</v>
      </c>
      <c r="S466" s="2">
        <v>29.633027168332351</v>
      </c>
      <c r="T466" s="2" t="s">
        <v>2526</v>
      </c>
      <c r="U466" t="str">
        <f>INDEX(Table2[Doctor_Name],MATCH(Table1_3[[#This Row],[Department]],Table2[Department],0))</f>
        <v>Dr. Sunita Sanchez</v>
      </c>
    </row>
    <row r="467" spans="1:21" x14ac:dyDescent="0.35">
      <c r="A467" s="2" t="s">
        <v>339</v>
      </c>
      <c r="B467" s="2" t="s">
        <v>2422</v>
      </c>
      <c r="C467" s="2">
        <v>51</v>
      </c>
      <c r="D467" s="2" t="s">
        <v>138</v>
      </c>
      <c r="E467" s="2" t="s">
        <v>130</v>
      </c>
      <c r="F467" s="2" t="s">
        <v>273</v>
      </c>
      <c r="G467" s="2" t="s">
        <v>36</v>
      </c>
      <c r="H467" s="2">
        <v>147</v>
      </c>
      <c r="I467" s="2">
        <v>42</v>
      </c>
      <c r="J467" s="2" t="s">
        <v>36</v>
      </c>
      <c r="K467" s="2" t="s">
        <v>65</v>
      </c>
      <c r="L467" s="2" t="s">
        <v>69</v>
      </c>
      <c r="M467" s="3">
        <v>44253</v>
      </c>
      <c r="N467" s="4">
        <f>Table1_3[[#This Row],[Admission_Date]]</f>
        <v>44253</v>
      </c>
      <c r="O467" s="5">
        <f>Table1_3[[#This Row],[Admission_Date]]</f>
        <v>44253</v>
      </c>
      <c r="P467" s="2">
        <v>35525.01</v>
      </c>
      <c r="Q467" s="2">
        <f t="shared" si="7"/>
        <v>107</v>
      </c>
      <c r="R467" s="2" t="s">
        <v>2523</v>
      </c>
      <c r="S467" s="2">
        <v>19.436345966958214</v>
      </c>
      <c r="T467" s="2" t="s">
        <v>1567</v>
      </c>
      <c r="U467" t="str">
        <f>INDEX(Table2[Doctor_Name],MATCH(Table1_3[[#This Row],[Department]],Table2[Department],0))</f>
        <v>Dr. Vikram Wang</v>
      </c>
    </row>
    <row r="468" spans="1:21" x14ac:dyDescent="0.35">
      <c r="A468" s="2" t="s">
        <v>278</v>
      </c>
      <c r="B468" s="2" t="s">
        <v>279</v>
      </c>
      <c r="C468" s="2">
        <v>46</v>
      </c>
      <c r="D468" s="2" t="s">
        <v>29</v>
      </c>
      <c r="E468" s="2" t="s">
        <v>130</v>
      </c>
      <c r="F468" s="2" t="s">
        <v>2517</v>
      </c>
      <c r="G468" s="2" t="s">
        <v>280</v>
      </c>
      <c r="H468" s="2">
        <v>175</v>
      </c>
      <c r="I468" s="2">
        <v>99.3</v>
      </c>
      <c r="J468" s="2" t="s">
        <v>65</v>
      </c>
      <c r="K468" s="2" t="s">
        <v>19</v>
      </c>
      <c r="L468" s="2" t="s">
        <v>143</v>
      </c>
      <c r="M468" s="3">
        <v>44244</v>
      </c>
      <c r="N468" s="4">
        <f>Table1_3[[#This Row],[Admission_Date]]</f>
        <v>44244</v>
      </c>
      <c r="O468" s="5">
        <f>Table1_3[[#This Row],[Admission_Date]]</f>
        <v>44244</v>
      </c>
      <c r="P468" s="2">
        <v>49247.49</v>
      </c>
      <c r="Q468" s="2">
        <f t="shared" si="7"/>
        <v>1</v>
      </c>
      <c r="R468" s="2" t="s">
        <v>2523</v>
      </c>
      <c r="S468" s="2">
        <v>32.424489795918369</v>
      </c>
      <c r="T468" s="2" t="s">
        <v>2522</v>
      </c>
      <c r="U468" t="str">
        <f>INDEX(Table2[Doctor_Name],MATCH(Table1_3[[#This Row],[Department]],Table2[Department],0))</f>
        <v>Dr. Neha Liu</v>
      </c>
    </row>
    <row r="469" spans="1:21" x14ac:dyDescent="0.35">
      <c r="A469" s="2" t="s">
        <v>654</v>
      </c>
      <c r="B469" s="2" t="s">
        <v>2442</v>
      </c>
      <c r="C469" s="2">
        <v>24</v>
      </c>
      <c r="D469" s="2" t="s">
        <v>138</v>
      </c>
      <c r="E469" s="2" t="s">
        <v>45</v>
      </c>
      <c r="F469" s="2" t="s">
        <v>36</v>
      </c>
      <c r="G469" s="2" t="s">
        <v>35</v>
      </c>
      <c r="H469" s="2">
        <v>169</v>
      </c>
      <c r="I469" s="2">
        <v>111.6</v>
      </c>
      <c r="J469" s="2" t="s">
        <v>65</v>
      </c>
      <c r="K469" s="2" t="s">
        <v>65</v>
      </c>
      <c r="L469" s="2" t="s">
        <v>143</v>
      </c>
      <c r="M469" s="3">
        <v>44353</v>
      </c>
      <c r="N469" s="4">
        <f>Table1_3[[#This Row],[Admission_Date]]</f>
        <v>44353</v>
      </c>
      <c r="O469" s="5">
        <f>Table1_3[[#This Row],[Admission_Date]]</f>
        <v>44353</v>
      </c>
      <c r="P469" s="2">
        <v>34523.15</v>
      </c>
      <c r="Q469" s="2">
        <f t="shared" si="7"/>
        <v>35</v>
      </c>
      <c r="R469" s="2" t="s">
        <v>2527</v>
      </c>
      <c r="S469" s="2">
        <v>39.074262105668573</v>
      </c>
      <c r="T469" s="2" t="s">
        <v>2522</v>
      </c>
      <c r="U469" t="str">
        <f>INDEX(Table2[Doctor_Name],MATCH(Table1_3[[#This Row],[Department]],Table2[Department],0))</f>
        <v>Dr. Neha Liu</v>
      </c>
    </row>
    <row r="470" spans="1:21" x14ac:dyDescent="0.35">
      <c r="A470" s="2" t="s">
        <v>1123</v>
      </c>
      <c r="B470" s="2" t="s">
        <v>1124</v>
      </c>
      <c r="C470" s="2">
        <v>85</v>
      </c>
      <c r="D470" s="2" t="s">
        <v>52</v>
      </c>
      <c r="E470" s="2" t="s">
        <v>24</v>
      </c>
      <c r="F470" s="2" t="s">
        <v>141</v>
      </c>
      <c r="G470" s="2" t="s">
        <v>198</v>
      </c>
      <c r="H470" s="2">
        <v>164</v>
      </c>
      <c r="I470" s="2">
        <v>94</v>
      </c>
      <c r="J470" s="2" t="s">
        <v>19</v>
      </c>
      <c r="K470" s="2" t="s">
        <v>19</v>
      </c>
      <c r="L470" s="2" t="s">
        <v>55</v>
      </c>
      <c r="M470" s="3">
        <v>44718</v>
      </c>
      <c r="N470" s="4">
        <f>Table1_3[[#This Row],[Admission_Date]]</f>
        <v>44718</v>
      </c>
      <c r="O470" s="5">
        <f>Table1_3[[#This Row],[Admission_Date]]</f>
        <v>44718</v>
      </c>
      <c r="P470" s="2">
        <v>100</v>
      </c>
      <c r="Q470" s="2">
        <f t="shared" si="7"/>
        <v>42</v>
      </c>
      <c r="R470" s="2" t="s">
        <v>2525</v>
      </c>
      <c r="S470" s="2">
        <v>34.949434860202267</v>
      </c>
      <c r="T470" s="2" t="s">
        <v>2522</v>
      </c>
      <c r="U470" t="str">
        <f>INDEX(Table2[Doctor_Name],MATCH(Table1_3[[#This Row],[Department]],Table2[Department],0))</f>
        <v>Dr. Sunita Sanchez</v>
      </c>
    </row>
    <row r="471" spans="1:21" x14ac:dyDescent="0.35">
      <c r="A471" s="2" t="s">
        <v>393</v>
      </c>
      <c r="B471" s="2" t="s">
        <v>394</v>
      </c>
      <c r="C471" s="2">
        <v>28</v>
      </c>
      <c r="D471" s="2" t="s">
        <v>29</v>
      </c>
      <c r="E471" s="2" t="s">
        <v>24</v>
      </c>
      <c r="F471" s="2" t="s">
        <v>17</v>
      </c>
      <c r="G471" s="2" t="s">
        <v>112</v>
      </c>
      <c r="H471" s="2">
        <v>174</v>
      </c>
      <c r="I471" s="2">
        <v>64.099999999999994</v>
      </c>
      <c r="J471" s="2" t="s">
        <v>65</v>
      </c>
      <c r="K471" s="2" t="s">
        <v>65</v>
      </c>
      <c r="L471" s="2" t="s">
        <v>107</v>
      </c>
      <c r="M471" s="3">
        <v>44799</v>
      </c>
      <c r="N471" s="4">
        <f>Table1_3[[#This Row],[Admission_Date]]</f>
        <v>44799</v>
      </c>
      <c r="O471" s="5">
        <f>Table1_3[[#This Row],[Admission_Date]]</f>
        <v>44799</v>
      </c>
      <c r="P471" s="2">
        <v>37387.129999999997</v>
      </c>
      <c r="Q471" s="2">
        <f t="shared" si="7"/>
        <v>83</v>
      </c>
      <c r="R471" s="2" t="s">
        <v>2523</v>
      </c>
      <c r="S471" s="2">
        <v>21.171885321706959</v>
      </c>
      <c r="T471" s="2" t="s">
        <v>1567</v>
      </c>
      <c r="U471" t="str">
        <f>INDEX(Table2[Doctor_Name],MATCH(Table1_3[[#This Row],[Department]],Table2[Department],0))</f>
        <v>Dr. Anita Sanchez</v>
      </c>
    </row>
    <row r="472" spans="1:21" x14ac:dyDescent="0.35">
      <c r="A472" s="2" t="s">
        <v>813</v>
      </c>
      <c r="B472" s="2" t="s">
        <v>2457</v>
      </c>
      <c r="C472" s="2">
        <v>92</v>
      </c>
      <c r="D472" s="2" t="s">
        <v>29</v>
      </c>
      <c r="E472" s="2" t="s">
        <v>45</v>
      </c>
      <c r="F472" s="2" t="s">
        <v>134</v>
      </c>
      <c r="G472" s="2" t="s">
        <v>74</v>
      </c>
      <c r="H472" s="2">
        <v>177.1</v>
      </c>
      <c r="I472" s="2">
        <v>125.8</v>
      </c>
      <c r="J472" s="2" t="s">
        <v>65</v>
      </c>
      <c r="K472" s="2" t="s">
        <v>65</v>
      </c>
      <c r="L472" s="2" t="s">
        <v>103</v>
      </c>
      <c r="M472" s="3">
        <v>44872</v>
      </c>
      <c r="N472" s="4">
        <f>Table1_3[[#This Row],[Admission_Date]]</f>
        <v>44872</v>
      </c>
      <c r="O472" s="5">
        <f>Table1_3[[#This Row],[Admission_Date]]</f>
        <v>44872</v>
      </c>
      <c r="P472" s="2">
        <v>31334.09</v>
      </c>
      <c r="Q472" s="2">
        <f t="shared" si="7"/>
        <v>31</v>
      </c>
      <c r="R472" s="2" t="s">
        <v>2525</v>
      </c>
      <c r="S472" s="2">
        <v>40.109155568365551</v>
      </c>
      <c r="T472" s="2" t="s">
        <v>2522</v>
      </c>
      <c r="U472" t="str">
        <f>INDEX(Table2[Doctor_Name],MATCH(Table1_3[[#This Row],[Department]],Table2[Department],0))</f>
        <v>Dr. Suresh Johnson</v>
      </c>
    </row>
    <row r="473" spans="1:21" x14ac:dyDescent="0.35">
      <c r="A473" s="2" t="s">
        <v>1407</v>
      </c>
      <c r="B473" s="2" t="s">
        <v>1408</v>
      </c>
      <c r="C473" s="2">
        <v>66</v>
      </c>
      <c r="D473" s="2" t="s">
        <v>29</v>
      </c>
      <c r="E473" s="2" t="s">
        <v>115</v>
      </c>
      <c r="F473" s="2" t="s">
        <v>36</v>
      </c>
      <c r="G473" s="2" t="s">
        <v>280</v>
      </c>
      <c r="H473" s="2">
        <v>173</v>
      </c>
      <c r="I473" s="2">
        <v>50.3</v>
      </c>
      <c r="J473" s="2" t="s">
        <v>65</v>
      </c>
      <c r="K473" s="2" t="s">
        <v>19</v>
      </c>
      <c r="L473" s="2" t="s">
        <v>107</v>
      </c>
      <c r="M473" s="3">
        <v>44699</v>
      </c>
      <c r="N473" s="4">
        <f>Table1_3[[#This Row],[Admission_Date]]</f>
        <v>44699</v>
      </c>
      <c r="O473" s="5">
        <f>Table1_3[[#This Row],[Admission_Date]]</f>
        <v>44699</v>
      </c>
      <c r="P473" s="2">
        <v>11151.62</v>
      </c>
      <c r="Q473" s="2">
        <f t="shared" si="7"/>
        <v>83</v>
      </c>
      <c r="R473" s="2" t="s">
        <v>2525</v>
      </c>
      <c r="S473" s="2">
        <v>16.80644191252631</v>
      </c>
      <c r="T473" s="2" t="s">
        <v>2524</v>
      </c>
      <c r="U473" t="str">
        <f>INDEX(Table2[Doctor_Name],MATCH(Table1_3[[#This Row],[Department]],Table2[Department],0))</f>
        <v>Dr. Anita Sanchez</v>
      </c>
    </row>
    <row r="474" spans="1:21" x14ac:dyDescent="0.35">
      <c r="A474" s="2" t="s">
        <v>887</v>
      </c>
      <c r="B474" s="2" t="s">
        <v>888</v>
      </c>
      <c r="C474" s="2">
        <v>28</v>
      </c>
      <c r="D474" s="2" t="s">
        <v>138</v>
      </c>
      <c r="E474" s="2" t="s">
        <v>115</v>
      </c>
      <c r="F474" s="2" t="s">
        <v>17</v>
      </c>
      <c r="G474" s="2" t="s">
        <v>112</v>
      </c>
      <c r="H474" s="2">
        <v>187</v>
      </c>
      <c r="I474" s="2">
        <v>49.3</v>
      </c>
      <c r="J474" s="2" t="s">
        <v>36</v>
      </c>
      <c r="K474" s="2" t="s">
        <v>65</v>
      </c>
      <c r="L474" s="2" t="s">
        <v>86</v>
      </c>
      <c r="M474" s="3">
        <v>44261</v>
      </c>
      <c r="N474" s="4">
        <f>Table1_3[[#This Row],[Admission_Date]]</f>
        <v>44261</v>
      </c>
      <c r="O474" s="5">
        <f>Table1_3[[#This Row],[Admission_Date]]</f>
        <v>44261</v>
      </c>
      <c r="P474" s="2">
        <v>44686.87</v>
      </c>
      <c r="Q474" s="2">
        <f t="shared" si="7"/>
        <v>15</v>
      </c>
      <c r="R474" s="2" t="s">
        <v>2523</v>
      </c>
      <c r="S474" s="2">
        <v>14.098201263976662</v>
      </c>
      <c r="T474" s="2" t="s">
        <v>2524</v>
      </c>
      <c r="U474" t="str">
        <f>INDEX(Table2[Doctor_Name],MATCH(Table1_3[[#This Row],[Department]],Table2[Department],0))</f>
        <v>Dr. Meera Torres</v>
      </c>
    </row>
    <row r="475" spans="1:21" x14ac:dyDescent="0.35">
      <c r="A475" s="2" t="s">
        <v>349</v>
      </c>
      <c r="B475" s="2" t="s">
        <v>2424</v>
      </c>
      <c r="C475" s="2">
        <v>64</v>
      </c>
      <c r="D475" s="2" t="s">
        <v>29</v>
      </c>
      <c r="E475" s="2" t="s">
        <v>53</v>
      </c>
      <c r="F475" s="2" t="s">
        <v>36</v>
      </c>
      <c r="G475" s="2" t="s">
        <v>198</v>
      </c>
      <c r="H475" s="2">
        <v>178</v>
      </c>
      <c r="I475" s="2">
        <v>61</v>
      </c>
      <c r="J475" s="2" t="s">
        <v>19</v>
      </c>
      <c r="K475" s="2" t="s">
        <v>19</v>
      </c>
      <c r="L475" s="2" t="s">
        <v>143</v>
      </c>
      <c r="M475" s="3">
        <v>44470</v>
      </c>
      <c r="N475" s="4">
        <f>Table1_3[[#This Row],[Admission_Date]]</f>
        <v>44470</v>
      </c>
      <c r="O475" s="5">
        <f>Table1_3[[#This Row],[Admission_Date]]</f>
        <v>44470</v>
      </c>
      <c r="P475" s="2">
        <v>14576.11</v>
      </c>
      <c r="Q475" s="2">
        <f t="shared" si="7"/>
        <v>35</v>
      </c>
      <c r="R475" s="2" t="s">
        <v>2525</v>
      </c>
      <c r="S475" s="2">
        <v>19.252619618735007</v>
      </c>
      <c r="T475" s="2" t="s">
        <v>1567</v>
      </c>
      <c r="U475" t="str">
        <f>INDEX(Table2[Doctor_Name],MATCH(Table1_3[[#This Row],[Department]],Table2[Department],0))</f>
        <v>Dr. Neha Liu</v>
      </c>
    </row>
    <row r="476" spans="1:21" x14ac:dyDescent="0.35">
      <c r="A476" s="2" t="s">
        <v>945</v>
      </c>
      <c r="B476" s="2" t="s">
        <v>946</v>
      </c>
      <c r="C476" s="2" t="s">
        <v>2519</v>
      </c>
      <c r="D476" s="2" t="s">
        <v>138</v>
      </c>
      <c r="E476" s="2" t="s">
        <v>45</v>
      </c>
      <c r="F476" s="2" t="s">
        <v>36</v>
      </c>
      <c r="G476" s="2" t="s">
        <v>295</v>
      </c>
      <c r="H476" s="2">
        <v>194</v>
      </c>
      <c r="I476" s="2">
        <v>90.1</v>
      </c>
      <c r="J476" s="2" t="s">
        <v>65</v>
      </c>
      <c r="K476" s="2" t="s">
        <v>65</v>
      </c>
      <c r="L476" s="2" t="s">
        <v>69</v>
      </c>
      <c r="M476" s="3">
        <v>45002</v>
      </c>
      <c r="N476" s="4">
        <f>Table1_3[[#This Row],[Admission_Date]]</f>
        <v>45002</v>
      </c>
      <c r="O476" s="5">
        <f>Table1_3[[#This Row],[Admission_Date]]</f>
        <v>45002</v>
      </c>
      <c r="P476" s="2">
        <v>34974.620000000003</v>
      </c>
      <c r="Q476" s="2">
        <f t="shared" si="7"/>
        <v>107</v>
      </c>
      <c r="R476" s="2" t="s">
        <v>36</v>
      </c>
      <c r="S476" s="2">
        <v>23.939844829418643</v>
      </c>
      <c r="T476" s="2" t="s">
        <v>1567</v>
      </c>
      <c r="U476" t="str">
        <f>INDEX(Table2[Doctor_Name],MATCH(Table1_3[[#This Row],[Department]],Table2[Department],0))</f>
        <v>Dr. Vikram Wang</v>
      </c>
    </row>
    <row r="477" spans="1:21" x14ac:dyDescent="0.35">
      <c r="A477" s="2" t="s">
        <v>1415</v>
      </c>
      <c r="B477" s="2" t="s">
        <v>1416</v>
      </c>
      <c r="C477" s="2">
        <v>29</v>
      </c>
      <c r="D477" s="2" t="s">
        <v>29</v>
      </c>
      <c r="E477" s="2" t="s">
        <v>24</v>
      </c>
      <c r="F477" s="2" t="s">
        <v>17</v>
      </c>
      <c r="G477" s="2" t="s">
        <v>198</v>
      </c>
      <c r="H477" s="2">
        <v>154.1</v>
      </c>
      <c r="I477" s="2">
        <v>47.9</v>
      </c>
      <c r="J477" s="2" t="s">
        <v>19</v>
      </c>
      <c r="K477" s="2" t="s">
        <v>19</v>
      </c>
      <c r="L477" s="2" t="s">
        <v>86</v>
      </c>
      <c r="M477" s="3">
        <v>44304</v>
      </c>
      <c r="N477" s="4">
        <f>Table1_3[[#This Row],[Admission_Date]]</f>
        <v>44304</v>
      </c>
      <c r="O477" s="5">
        <f>Table1_3[[#This Row],[Admission_Date]]</f>
        <v>44304</v>
      </c>
      <c r="P477" s="2">
        <v>0</v>
      </c>
      <c r="Q477" s="2">
        <f t="shared" si="7"/>
        <v>35</v>
      </c>
      <c r="R477" s="2" t="s">
        <v>2523</v>
      </c>
      <c r="S477" s="2">
        <v>20.171130353929644</v>
      </c>
      <c r="T477" s="2" t="s">
        <v>1567</v>
      </c>
      <c r="U477" t="str">
        <f>INDEX(Table2[Doctor_Name],MATCH(Table1_3[[#This Row],[Department]],Table2[Department],0))</f>
        <v>Dr. Meera Torres</v>
      </c>
    </row>
    <row r="478" spans="1:21" x14ac:dyDescent="0.35">
      <c r="A478" s="2" t="s">
        <v>405</v>
      </c>
      <c r="B478" s="2" t="s">
        <v>406</v>
      </c>
      <c r="C478" s="2">
        <v>49</v>
      </c>
      <c r="D478" s="2" t="s">
        <v>29</v>
      </c>
      <c r="E478" s="2" t="s">
        <v>89</v>
      </c>
      <c r="F478" s="2" t="s">
        <v>120</v>
      </c>
      <c r="G478" s="2" t="s">
        <v>208</v>
      </c>
      <c r="H478" s="2">
        <v>174</v>
      </c>
      <c r="I478" s="2">
        <v>107.8</v>
      </c>
      <c r="J478" s="2" t="s">
        <v>36</v>
      </c>
      <c r="K478" s="2" t="s">
        <v>65</v>
      </c>
      <c r="L478" s="2" t="s">
        <v>143</v>
      </c>
      <c r="M478" s="3">
        <v>44417</v>
      </c>
      <c r="N478" s="4">
        <f>Table1_3[[#This Row],[Admission_Date]]</f>
        <v>44417</v>
      </c>
      <c r="O478" s="5">
        <f>Table1_3[[#This Row],[Admission_Date]]</f>
        <v>44417</v>
      </c>
      <c r="P478" s="2">
        <v>26615.65</v>
      </c>
      <c r="Q478" s="2">
        <f t="shared" si="7"/>
        <v>35</v>
      </c>
      <c r="R478" s="2" t="s">
        <v>2523</v>
      </c>
      <c r="S478" s="2">
        <v>35.605760338221693</v>
      </c>
      <c r="T478" s="2" t="s">
        <v>2522</v>
      </c>
      <c r="U478" t="str">
        <f>INDEX(Table2[Doctor_Name],MATCH(Table1_3[[#This Row],[Department]],Table2[Department],0))</f>
        <v>Dr. Neha Liu</v>
      </c>
    </row>
    <row r="479" spans="1:21" x14ac:dyDescent="0.35">
      <c r="A479" s="2" t="s">
        <v>1015</v>
      </c>
      <c r="B479" s="2" t="s">
        <v>2471</v>
      </c>
      <c r="C479" s="2">
        <v>38</v>
      </c>
      <c r="D479" s="2" t="s">
        <v>138</v>
      </c>
      <c r="E479" s="2" t="s">
        <v>45</v>
      </c>
      <c r="F479" s="2" t="s">
        <v>17</v>
      </c>
      <c r="G479" s="2" t="s">
        <v>18</v>
      </c>
      <c r="H479" s="2">
        <v>192</v>
      </c>
      <c r="I479" s="2">
        <v>46.8</v>
      </c>
      <c r="J479" s="2" t="s">
        <v>19</v>
      </c>
      <c r="K479" s="2" t="s">
        <v>65</v>
      </c>
      <c r="L479" s="2" t="s">
        <v>69</v>
      </c>
      <c r="M479" s="3">
        <v>44639</v>
      </c>
      <c r="N479" s="4">
        <f>Table1_3[[#This Row],[Admission_Date]]</f>
        <v>44639</v>
      </c>
      <c r="O479" s="5">
        <f>Table1_3[[#This Row],[Admission_Date]]</f>
        <v>44639</v>
      </c>
      <c r="P479" s="2">
        <v>41016.32</v>
      </c>
      <c r="Q479" s="2">
        <f t="shared" si="7"/>
        <v>107</v>
      </c>
      <c r="R479" s="2" t="s">
        <v>2523</v>
      </c>
      <c r="S479" s="2">
        <v>12.6953125</v>
      </c>
      <c r="T479" s="2" t="s">
        <v>2524</v>
      </c>
      <c r="U479" t="str">
        <f>INDEX(Table2[Doctor_Name],MATCH(Table1_3[[#This Row],[Department]],Table2[Department],0))</f>
        <v>Dr. Vikram Wang</v>
      </c>
    </row>
    <row r="480" spans="1:21" x14ac:dyDescent="0.35">
      <c r="A480" s="2" t="s">
        <v>1420</v>
      </c>
      <c r="B480" s="2" t="s">
        <v>1421</v>
      </c>
      <c r="C480" s="2">
        <v>40</v>
      </c>
      <c r="D480" s="2" t="s">
        <v>138</v>
      </c>
      <c r="E480" s="2" t="s">
        <v>230</v>
      </c>
      <c r="F480" s="2" t="s">
        <v>17</v>
      </c>
      <c r="G480" s="2" t="s">
        <v>35</v>
      </c>
      <c r="H480" s="2">
        <v>162.30000000000001</v>
      </c>
      <c r="I480" s="2">
        <v>74.7</v>
      </c>
      <c r="J480" s="2" t="s">
        <v>36</v>
      </c>
      <c r="K480" s="2" t="s">
        <v>19</v>
      </c>
      <c r="L480" s="2" t="s">
        <v>226</v>
      </c>
      <c r="M480" s="3">
        <v>45016</v>
      </c>
      <c r="N480" s="4">
        <f>Table1_3[[#This Row],[Admission_Date]]</f>
        <v>45016</v>
      </c>
      <c r="O480" s="5">
        <f>Table1_3[[#This Row],[Admission_Date]]</f>
        <v>45016</v>
      </c>
      <c r="P480" s="2">
        <v>3897.65</v>
      </c>
      <c r="Q480" s="2">
        <f t="shared" si="7"/>
        <v>35</v>
      </c>
      <c r="R480" s="2" t="s">
        <v>2523</v>
      </c>
      <c r="S480" s="2">
        <v>28.358520026923504</v>
      </c>
      <c r="T480" s="2" t="s">
        <v>2526</v>
      </c>
      <c r="U480" t="str">
        <f>INDEX(Table2[Doctor_Name],MATCH(Table1_3[[#This Row],[Department]],Table2[Department],0))</f>
        <v>Dr. Vikram Khan</v>
      </c>
    </row>
    <row r="481" spans="1:21" x14ac:dyDescent="0.35">
      <c r="A481" s="2" t="s">
        <v>487</v>
      </c>
      <c r="B481" s="2" t="s">
        <v>1063</v>
      </c>
      <c r="C481" s="2">
        <v>15</v>
      </c>
      <c r="D481" s="2" t="s">
        <v>138</v>
      </c>
      <c r="E481" s="2" t="s">
        <v>24</v>
      </c>
      <c r="F481" s="2" t="s">
        <v>2517</v>
      </c>
      <c r="G481" s="2" t="s">
        <v>90</v>
      </c>
      <c r="H481" s="2">
        <v>161.69999999999999</v>
      </c>
      <c r="I481" s="2">
        <v>51</v>
      </c>
      <c r="J481" s="2" t="s">
        <v>65</v>
      </c>
      <c r="K481" s="2" t="s">
        <v>19</v>
      </c>
      <c r="L481" s="2" t="s">
        <v>226</v>
      </c>
      <c r="M481" s="3">
        <v>44327</v>
      </c>
      <c r="N481" s="4">
        <f>Table1_3[[#This Row],[Admission_Date]]</f>
        <v>44327</v>
      </c>
      <c r="O481" s="5">
        <f>Table1_3[[#This Row],[Admission_Date]]</f>
        <v>44327</v>
      </c>
      <c r="P481" s="2">
        <v>25358.42</v>
      </c>
      <c r="Q481" s="2">
        <f t="shared" si="7"/>
        <v>35</v>
      </c>
      <c r="R481" s="2" t="s">
        <v>2521</v>
      </c>
      <c r="S481" s="2">
        <v>19.505187806274478</v>
      </c>
      <c r="T481" s="2" t="s">
        <v>1567</v>
      </c>
      <c r="U481" t="str">
        <f>INDEX(Table2[Doctor_Name],MATCH(Table1_3[[#This Row],[Department]],Table2[Department],0))</f>
        <v>Dr. Vikram Khan</v>
      </c>
    </row>
    <row r="482" spans="1:21" x14ac:dyDescent="0.35">
      <c r="A482" s="2" t="s">
        <v>177</v>
      </c>
      <c r="B482" s="2" t="s">
        <v>178</v>
      </c>
      <c r="C482" s="2">
        <v>55</v>
      </c>
      <c r="D482" s="2" t="s">
        <v>138</v>
      </c>
      <c r="E482" s="2" t="s">
        <v>59</v>
      </c>
      <c r="F482" s="2" t="s">
        <v>2518</v>
      </c>
      <c r="G482" s="2" t="s">
        <v>102</v>
      </c>
      <c r="H482" s="2">
        <v>151.9</v>
      </c>
      <c r="I482" s="2">
        <v>50</v>
      </c>
      <c r="J482" s="2" t="s">
        <v>36</v>
      </c>
      <c r="K482" s="2" t="s">
        <v>65</v>
      </c>
      <c r="L482" s="2" t="s">
        <v>69</v>
      </c>
      <c r="M482" s="3">
        <v>44646</v>
      </c>
      <c r="N482" s="4">
        <f>Table1_3[[#This Row],[Admission_Date]]</f>
        <v>44646</v>
      </c>
      <c r="O482" s="5">
        <f>Table1_3[[#This Row],[Admission_Date]]</f>
        <v>44646</v>
      </c>
      <c r="P482" s="2">
        <v>0</v>
      </c>
      <c r="Q482" s="2">
        <f t="shared" si="7"/>
        <v>107</v>
      </c>
      <c r="R482" s="2" t="s">
        <v>2523</v>
      </c>
      <c r="S482" s="2">
        <v>21.669777724421966</v>
      </c>
      <c r="T482" s="2" t="s">
        <v>1567</v>
      </c>
      <c r="U482" t="str">
        <f>INDEX(Table2[Doctor_Name],MATCH(Table1_3[[#This Row],[Department]],Table2[Department],0))</f>
        <v>Dr. Vikram Wang</v>
      </c>
    </row>
    <row r="483" spans="1:21" x14ac:dyDescent="0.35">
      <c r="A483" s="2" t="s">
        <v>455</v>
      </c>
      <c r="B483" s="2" t="s">
        <v>2431</v>
      </c>
      <c r="C483" s="2">
        <v>92</v>
      </c>
      <c r="D483" s="2" t="s">
        <v>29</v>
      </c>
      <c r="E483" s="2" t="s">
        <v>45</v>
      </c>
      <c r="F483" s="2" t="s">
        <v>2518</v>
      </c>
      <c r="G483" s="2" t="s">
        <v>198</v>
      </c>
      <c r="H483" s="2">
        <v>191.2</v>
      </c>
      <c r="I483" s="2">
        <v>55</v>
      </c>
      <c r="J483" s="2" t="s">
        <v>65</v>
      </c>
      <c r="K483" s="2" t="s">
        <v>36</v>
      </c>
      <c r="L483" s="2" t="s">
        <v>107</v>
      </c>
      <c r="M483" s="3">
        <v>44786</v>
      </c>
      <c r="N483" s="4">
        <f>Table1_3[[#This Row],[Admission_Date]]</f>
        <v>44786</v>
      </c>
      <c r="O483" s="5">
        <f>Table1_3[[#This Row],[Admission_Date]]</f>
        <v>44786</v>
      </c>
      <c r="P483" s="2">
        <v>653.79</v>
      </c>
      <c r="Q483" s="2">
        <f t="shared" si="7"/>
        <v>83</v>
      </c>
      <c r="R483" s="2" t="s">
        <v>2525</v>
      </c>
      <c r="S483" s="2">
        <v>15.044817142557029</v>
      </c>
      <c r="T483" s="2" t="s">
        <v>2524</v>
      </c>
      <c r="U483" t="str">
        <f>INDEX(Table2[Doctor_Name],MATCH(Table1_3[[#This Row],[Department]],Table2[Department],0))</f>
        <v>Dr. Anita Sanchez</v>
      </c>
    </row>
    <row r="484" spans="1:21" x14ac:dyDescent="0.35">
      <c r="A484" s="2" t="s">
        <v>782</v>
      </c>
      <c r="B484" s="2" t="s">
        <v>783</v>
      </c>
      <c r="C484" s="2">
        <v>22</v>
      </c>
      <c r="D484" s="2" t="s">
        <v>138</v>
      </c>
      <c r="E484" s="2" t="s">
        <v>146</v>
      </c>
      <c r="F484" s="2" t="s">
        <v>79</v>
      </c>
      <c r="G484" s="2" t="s">
        <v>90</v>
      </c>
      <c r="H484" s="2">
        <v>167</v>
      </c>
      <c r="I484" s="2">
        <v>99.9</v>
      </c>
      <c r="J484" s="2" t="s">
        <v>65</v>
      </c>
      <c r="K484" s="2" t="s">
        <v>19</v>
      </c>
      <c r="L484" s="2" t="s">
        <v>69</v>
      </c>
      <c r="M484" s="3">
        <v>44737</v>
      </c>
      <c r="N484" s="4">
        <f>Table1_3[[#This Row],[Admission_Date]]</f>
        <v>44737</v>
      </c>
      <c r="O484" s="5">
        <f>Table1_3[[#This Row],[Admission_Date]]</f>
        <v>44737</v>
      </c>
      <c r="P484" s="2">
        <v>8950.89</v>
      </c>
      <c r="Q484" s="2">
        <f t="shared" si="7"/>
        <v>107</v>
      </c>
      <c r="R484" s="2" t="s">
        <v>2527</v>
      </c>
      <c r="S484" s="2">
        <v>35.820574420022233</v>
      </c>
      <c r="T484" s="2" t="s">
        <v>2522</v>
      </c>
      <c r="U484" t="str">
        <f>INDEX(Table2[Doctor_Name],MATCH(Table1_3[[#This Row],[Department]],Table2[Department],0))</f>
        <v>Dr. Vikram Wang</v>
      </c>
    </row>
    <row r="485" spans="1:21" x14ac:dyDescent="0.35">
      <c r="A485" s="2" t="s">
        <v>1352</v>
      </c>
      <c r="B485" s="2" t="s">
        <v>2500</v>
      </c>
      <c r="C485" s="2">
        <v>61</v>
      </c>
      <c r="D485" s="2" t="s">
        <v>138</v>
      </c>
      <c r="E485" s="2" t="s">
        <v>146</v>
      </c>
      <c r="F485" s="2" t="s">
        <v>273</v>
      </c>
      <c r="G485" s="2" t="s">
        <v>74</v>
      </c>
      <c r="H485" s="2">
        <v>164</v>
      </c>
      <c r="I485" s="2">
        <v>55</v>
      </c>
      <c r="J485" s="2" t="s">
        <v>65</v>
      </c>
      <c r="K485" s="2" t="s">
        <v>65</v>
      </c>
      <c r="L485" s="2" t="s">
        <v>107</v>
      </c>
      <c r="M485" s="3">
        <v>44884</v>
      </c>
      <c r="N485" s="4">
        <f>Table1_3[[#This Row],[Admission_Date]]</f>
        <v>44884</v>
      </c>
      <c r="O485" s="5">
        <f>Table1_3[[#This Row],[Admission_Date]]</f>
        <v>44884</v>
      </c>
      <c r="P485" s="2">
        <v>24787.759999999998</v>
      </c>
      <c r="Q485" s="2">
        <f t="shared" si="7"/>
        <v>83</v>
      </c>
      <c r="R485" s="2" t="s">
        <v>2525</v>
      </c>
      <c r="S485" s="2">
        <v>20.449137418203453</v>
      </c>
      <c r="T485" s="2" t="s">
        <v>1567</v>
      </c>
      <c r="U485" t="str">
        <f>INDEX(Table2[Doctor_Name],MATCH(Table1_3[[#This Row],[Department]],Table2[Department],0))</f>
        <v>Dr. Anita Sanchez</v>
      </c>
    </row>
    <row r="486" spans="1:21" x14ac:dyDescent="0.35">
      <c r="A486" s="2" t="s">
        <v>576</v>
      </c>
      <c r="B486" s="2" t="s">
        <v>577</v>
      </c>
      <c r="C486" s="2">
        <v>39</v>
      </c>
      <c r="D486" s="2" t="s">
        <v>138</v>
      </c>
      <c r="E486" s="2" t="s">
        <v>24</v>
      </c>
      <c r="F486" s="2" t="s">
        <v>36</v>
      </c>
      <c r="G486" s="2" t="s">
        <v>198</v>
      </c>
      <c r="H486" s="2" t="s">
        <v>2519</v>
      </c>
      <c r="I486" s="2">
        <v>77</v>
      </c>
      <c r="J486" s="2" t="s">
        <v>36</v>
      </c>
      <c r="K486" s="2" t="s">
        <v>19</v>
      </c>
      <c r="L486" s="2" t="s">
        <v>107</v>
      </c>
      <c r="M486" s="3">
        <v>45216</v>
      </c>
      <c r="N486" s="4">
        <f>Table1_3[[#This Row],[Admission_Date]]</f>
        <v>45216</v>
      </c>
      <c r="O486" s="5">
        <f>Table1_3[[#This Row],[Admission_Date]]</f>
        <v>45216</v>
      </c>
      <c r="P486" s="2">
        <v>12596.21</v>
      </c>
      <c r="Q486" s="2">
        <f t="shared" si="7"/>
        <v>83</v>
      </c>
      <c r="R486" s="2" t="s">
        <v>2523</v>
      </c>
      <c r="S486" s="2" t="s">
        <v>36</v>
      </c>
      <c r="T486" s="2" t="s">
        <v>36</v>
      </c>
      <c r="U486" t="str">
        <f>INDEX(Table2[Doctor_Name],MATCH(Table1_3[[#This Row],[Department]],Table2[Department],0))</f>
        <v>Dr. Anita Sanchez</v>
      </c>
    </row>
    <row r="487" spans="1:21" x14ac:dyDescent="0.35">
      <c r="A487" s="2" t="s">
        <v>1097</v>
      </c>
      <c r="B487" s="2" t="s">
        <v>2480</v>
      </c>
      <c r="C487" s="2">
        <v>82</v>
      </c>
      <c r="D487" s="2" t="s">
        <v>138</v>
      </c>
      <c r="E487" s="2" t="s">
        <v>53</v>
      </c>
      <c r="F487" s="2" t="s">
        <v>2517</v>
      </c>
      <c r="G487" s="2" t="s">
        <v>160</v>
      </c>
      <c r="H487" s="2">
        <v>169</v>
      </c>
      <c r="I487" s="2">
        <v>75.2</v>
      </c>
      <c r="J487" s="2" t="s">
        <v>19</v>
      </c>
      <c r="K487" s="2" t="s">
        <v>19</v>
      </c>
      <c r="L487" s="2" t="s">
        <v>226</v>
      </c>
      <c r="M487" s="3">
        <v>44281</v>
      </c>
      <c r="N487" s="4">
        <f>Table1_3[[#This Row],[Admission_Date]]</f>
        <v>44281</v>
      </c>
      <c r="O487" s="5">
        <f>Table1_3[[#This Row],[Admission_Date]]</f>
        <v>44281</v>
      </c>
      <c r="P487" s="2">
        <v>26243.85</v>
      </c>
      <c r="Q487" s="2">
        <f t="shared" si="7"/>
        <v>35</v>
      </c>
      <c r="R487" s="2" t="s">
        <v>2525</v>
      </c>
      <c r="S487" s="2">
        <v>26.329610307762337</v>
      </c>
      <c r="T487" s="2" t="s">
        <v>2526</v>
      </c>
      <c r="U487" t="str">
        <f>INDEX(Table2[Doctor_Name],MATCH(Table1_3[[#This Row],[Department]],Table2[Department],0))</f>
        <v>Dr. Vikram Khan</v>
      </c>
    </row>
    <row r="488" spans="1:21" x14ac:dyDescent="0.35">
      <c r="A488" s="2" t="s">
        <v>910</v>
      </c>
      <c r="B488" s="2" t="s">
        <v>246</v>
      </c>
      <c r="C488" s="2">
        <v>37</v>
      </c>
      <c r="D488" s="2" t="s">
        <v>138</v>
      </c>
      <c r="E488" s="2" t="s">
        <v>24</v>
      </c>
      <c r="F488" s="2" t="s">
        <v>36</v>
      </c>
      <c r="G488" s="2" t="s">
        <v>191</v>
      </c>
      <c r="H488" s="2">
        <v>172</v>
      </c>
      <c r="I488" s="2">
        <v>99.8</v>
      </c>
      <c r="J488" s="2" t="s">
        <v>65</v>
      </c>
      <c r="K488" s="2" t="s">
        <v>19</v>
      </c>
      <c r="L488" s="2" t="s">
        <v>69</v>
      </c>
      <c r="M488" s="3">
        <v>44800</v>
      </c>
      <c r="N488" s="4">
        <f>Table1_3[[#This Row],[Admission_Date]]</f>
        <v>44800</v>
      </c>
      <c r="O488" s="5">
        <f>Table1_3[[#This Row],[Admission_Date]]</f>
        <v>44800</v>
      </c>
      <c r="P488" s="2">
        <v>22965.98</v>
      </c>
      <c r="Q488" s="2">
        <f t="shared" si="7"/>
        <v>107</v>
      </c>
      <c r="R488" s="2" t="s">
        <v>2523</v>
      </c>
      <c r="S488" s="2">
        <v>33.734451054624124</v>
      </c>
      <c r="T488" s="2" t="s">
        <v>2522</v>
      </c>
      <c r="U488" t="str">
        <f>INDEX(Table2[Doctor_Name],MATCH(Table1_3[[#This Row],[Department]],Table2[Department],0))</f>
        <v>Dr. Vikram Wang</v>
      </c>
    </row>
    <row r="489" spans="1:21" x14ac:dyDescent="0.35">
      <c r="A489" s="2" t="s">
        <v>441</v>
      </c>
      <c r="B489" s="2" t="s">
        <v>2430</v>
      </c>
      <c r="C489" s="2">
        <v>1</v>
      </c>
      <c r="D489" s="2" t="s">
        <v>29</v>
      </c>
      <c r="E489" s="2" t="s">
        <v>53</v>
      </c>
      <c r="F489" s="2" t="s">
        <v>17</v>
      </c>
      <c r="G489" s="2" t="s">
        <v>102</v>
      </c>
      <c r="H489" s="2">
        <v>166.3</v>
      </c>
      <c r="I489" s="2">
        <v>104</v>
      </c>
      <c r="J489" s="2" t="s">
        <v>36</v>
      </c>
      <c r="K489" s="2" t="s">
        <v>65</v>
      </c>
      <c r="L489" s="2" t="s">
        <v>103</v>
      </c>
      <c r="M489" s="3">
        <v>44362</v>
      </c>
      <c r="N489" s="4">
        <f>Table1_3[[#This Row],[Admission_Date]]</f>
        <v>44362</v>
      </c>
      <c r="O489" s="5">
        <f>Table1_3[[#This Row],[Admission_Date]]</f>
        <v>44362</v>
      </c>
      <c r="P489" s="2">
        <v>11333.46</v>
      </c>
      <c r="Q489" s="2">
        <f t="shared" si="7"/>
        <v>31</v>
      </c>
      <c r="R489" s="2" t="s">
        <v>2521</v>
      </c>
      <c r="S489" s="2">
        <v>37.60528122784136</v>
      </c>
      <c r="T489" s="2" t="s">
        <v>2522</v>
      </c>
      <c r="U489" t="str">
        <f>INDEX(Table2[Doctor_Name],MATCH(Table1_3[[#This Row],[Department]],Table2[Department],0))</f>
        <v>Dr. Suresh Johnson</v>
      </c>
    </row>
    <row r="490" spans="1:21" x14ac:dyDescent="0.35">
      <c r="A490" s="2" t="s">
        <v>1245</v>
      </c>
      <c r="B490" s="2" t="s">
        <v>1246</v>
      </c>
      <c r="C490" s="2">
        <v>13</v>
      </c>
      <c r="D490" s="2" t="s">
        <v>29</v>
      </c>
      <c r="E490" s="2" t="s">
        <v>59</v>
      </c>
      <c r="F490" s="2" t="s">
        <v>79</v>
      </c>
      <c r="G490" s="2" t="s">
        <v>90</v>
      </c>
      <c r="H490" s="2">
        <v>171</v>
      </c>
      <c r="I490" s="2">
        <v>53</v>
      </c>
      <c r="J490" s="2" t="s">
        <v>19</v>
      </c>
      <c r="K490" s="2" t="s">
        <v>19</v>
      </c>
      <c r="L490" s="2" t="s">
        <v>103</v>
      </c>
      <c r="M490" s="3">
        <v>44605</v>
      </c>
      <c r="N490" s="4">
        <f>Table1_3[[#This Row],[Admission_Date]]</f>
        <v>44605</v>
      </c>
      <c r="O490" s="5">
        <f>Table1_3[[#This Row],[Admission_Date]]</f>
        <v>44605</v>
      </c>
      <c r="P490" s="2">
        <v>15597.31</v>
      </c>
      <c r="Q490" s="2">
        <f t="shared" si="7"/>
        <v>31</v>
      </c>
      <c r="R490" s="2" t="s">
        <v>2521</v>
      </c>
      <c r="S490" s="2">
        <v>18.125235115078144</v>
      </c>
      <c r="T490" s="2" t="s">
        <v>2524</v>
      </c>
      <c r="U490" t="str">
        <f>INDEX(Table2[Doctor_Name],MATCH(Table1_3[[#This Row],[Department]],Table2[Department],0))</f>
        <v>Dr. Suresh Johnson</v>
      </c>
    </row>
    <row r="491" spans="1:21" x14ac:dyDescent="0.35">
      <c r="A491" s="2" t="s">
        <v>590</v>
      </c>
      <c r="B491" s="2" t="s">
        <v>591</v>
      </c>
      <c r="C491" s="2">
        <v>13</v>
      </c>
      <c r="D491" s="2" t="s">
        <v>29</v>
      </c>
      <c r="E491" s="2" t="s">
        <v>78</v>
      </c>
      <c r="F491" s="2" t="s">
        <v>2517</v>
      </c>
      <c r="G491" s="2" t="s">
        <v>25</v>
      </c>
      <c r="H491" s="2">
        <v>171</v>
      </c>
      <c r="I491" s="2">
        <v>78.5</v>
      </c>
      <c r="J491" s="2" t="s">
        <v>65</v>
      </c>
      <c r="K491" s="2" t="s">
        <v>65</v>
      </c>
      <c r="L491" s="2" t="s">
        <v>69</v>
      </c>
      <c r="M491" s="3">
        <v>44251</v>
      </c>
      <c r="N491" s="4">
        <f>Table1_3[[#This Row],[Admission_Date]]</f>
        <v>44251</v>
      </c>
      <c r="O491" s="5">
        <f>Table1_3[[#This Row],[Admission_Date]]</f>
        <v>44251</v>
      </c>
      <c r="P491" s="2">
        <v>4877.2299999999996</v>
      </c>
      <c r="Q491" s="2">
        <f t="shared" si="7"/>
        <v>107</v>
      </c>
      <c r="R491" s="2" t="s">
        <v>2521</v>
      </c>
      <c r="S491" s="2">
        <v>26.845867104408196</v>
      </c>
      <c r="T491" s="2" t="s">
        <v>2526</v>
      </c>
      <c r="U491" t="str">
        <f>INDEX(Table2[Doctor_Name],MATCH(Table1_3[[#This Row],[Department]],Table2[Department],0))</f>
        <v>Dr. Vikram Wang</v>
      </c>
    </row>
    <row r="492" spans="1:21" x14ac:dyDescent="0.35">
      <c r="A492" s="2" t="s">
        <v>346</v>
      </c>
      <c r="B492" s="2" t="s">
        <v>347</v>
      </c>
      <c r="C492" s="2">
        <v>73</v>
      </c>
      <c r="D492" s="2" t="s">
        <v>29</v>
      </c>
      <c r="E492" s="2" t="s">
        <v>146</v>
      </c>
      <c r="F492" s="2" t="s">
        <v>2518</v>
      </c>
      <c r="G492" s="2" t="s">
        <v>208</v>
      </c>
      <c r="H492" s="2">
        <v>192.3</v>
      </c>
      <c r="I492" s="2">
        <v>47.6</v>
      </c>
      <c r="J492" s="2" t="s">
        <v>36</v>
      </c>
      <c r="K492" s="2" t="s">
        <v>65</v>
      </c>
      <c r="L492" s="2" t="s">
        <v>107</v>
      </c>
      <c r="M492" s="3">
        <v>44396</v>
      </c>
      <c r="N492" s="4">
        <f>Table1_3[[#This Row],[Admission_Date]]</f>
        <v>44396</v>
      </c>
      <c r="O492" s="5">
        <f>Table1_3[[#This Row],[Admission_Date]]</f>
        <v>44396</v>
      </c>
      <c r="P492" s="2">
        <v>28489.45</v>
      </c>
      <c r="Q492" s="2">
        <f t="shared" si="7"/>
        <v>83</v>
      </c>
      <c r="R492" s="2" t="s">
        <v>2525</v>
      </c>
      <c r="S492" s="2">
        <v>12.872069744984287</v>
      </c>
      <c r="T492" s="2" t="s">
        <v>2524</v>
      </c>
      <c r="U492" t="str">
        <f>INDEX(Table2[Doctor_Name],MATCH(Table1_3[[#This Row],[Department]],Table2[Department],0))</f>
        <v>Dr. Anita Sanchez</v>
      </c>
    </row>
    <row r="493" spans="1:21" x14ac:dyDescent="0.35">
      <c r="A493" s="2" t="s">
        <v>908</v>
      </c>
      <c r="B493" s="2" t="s">
        <v>347</v>
      </c>
      <c r="C493" s="2">
        <v>27</v>
      </c>
      <c r="D493" s="2" t="s">
        <v>52</v>
      </c>
      <c r="E493" s="2" t="s">
        <v>89</v>
      </c>
      <c r="F493" s="2" t="s">
        <v>36</v>
      </c>
      <c r="G493" s="2" t="s">
        <v>208</v>
      </c>
      <c r="H493" s="2">
        <v>183</v>
      </c>
      <c r="I493" s="2">
        <v>68</v>
      </c>
      <c r="J493" s="2" t="s">
        <v>65</v>
      </c>
      <c r="K493" s="2" t="s">
        <v>65</v>
      </c>
      <c r="L493" s="2" t="s">
        <v>55</v>
      </c>
      <c r="M493" s="3">
        <v>44608</v>
      </c>
      <c r="N493" s="4">
        <f>Table1_3[[#This Row],[Admission_Date]]</f>
        <v>44608</v>
      </c>
      <c r="O493" s="5">
        <f>Table1_3[[#This Row],[Admission_Date]]</f>
        <v>44608</v>
      </c>
      <c r="P493" s="2">
        <v>3823.53</v>
      </c>
      <c r="Q493" s="2">
        <f t="shared" si="7"/>
        <v>42</v>
      </c>
      <c r="R493" s="2" t="s">
        <v>2523</v>
      </c>
      <c r="S493" s="2">
        <v>20.305174833527424</v>
      </c>
      <c r="T493" s="2" t="s">
        <v>1567</v>
      </c>
      <c r="U493" t="str">
        <f>INDEX(Table2[Doctor_Name],MATCH(Table1_3[[#This Row],[Department]],Table2[Department],0))</f>
        <v>Dr. Sunita Sanchez</v>
      </c>
    </row>
    <row r="494" spans="1:21" x14ac:dyDescent="0.35">
      <c r="A494" s="2" t="s">
        <v>924</v>
      </c>
      <c r="B494" s="2" t="s">
        <v>2467</v>
      </c>
      <c r="C494" s="2" t="s">
        <v>2519</v>
      </c>
      <c r="D494" s="2" t="s">
        <v>52</v>
      </c>
      <c r="E494" s="2" t="s">
        <v>230</v>
      </c>
      <c r="F494" s="2" t="s">
        <v>2518</v>
      </c>
      <c r="G494" s="2" t="s">
        <v>208</v>
      </c>
      <c r="H494" s="2">
        <v>178</v>
      </c>
      <c r="I494" s="2">
        <v>113.8</v>
      </c>
      <c r="J494" s="2" t="s">
        <v>36</v>
      </c>
      <c r="K494" s="2" t="s">
        <v>36</v>
      </c>
      <c r="L494" s="2" t="s">
        <v>31</v>
      </c>
      <c r="M494" s="3">
        <v>44478</v>
      </c>
      <c r="N494" s="4">
        <f>Table1_3[[#This Row],[Admission_Date]]</f>
        <v>44478</v>
      </c>
      <c r="O494" s="5">
        <f>Table1_3[[#This Row],[Admission_Date]]</f>
        <v>44478</v>
      </c>
      <c r="P494" s="2">
        <v>0</v>
      </c>
      <c r="Q494" s="2">
        <f t="shared" si="7"/>
        <v>37</v>
      </c>
      <c r="R494" s="2" t="s">
        <v>36</v>
      </c>
      <c r="S494" s="2">
        <v>35.91718217396793</v>
      </c>
      <c r="T494" s="2" t="s">
        <v>2522</v>
      </c>
      <c r="U494" t="str">
        <f>INDEX(Table2[Doctor_Name],MATCH(Table1_3[[#This Row],[Department]],Table2[Department],0))</f>
        <v>Dr. Arvind Chen</v>
      </c>
    </row>
    <row r="495" spans="1:21" x14ac:dyDescent="0.35">
      <c r="A495" s="2" t="s">
        <v>1019</v>
      </c>
      <c r="B495" s="2" t="s">
        <v>1020</v>
      </c>
      <c r="C495" s="2">
        <v>26</v>
      </c>
      <c r="D495" s="2" t="s">
        <v>138</v>
      </c>
      <c r="E495" s="2" t="s">
        <v>16</v>
      </c>
      <c r="F495" s="2" t="s">
        <v>79</v>
      </c>
      <c r="G495" s="2" t="s">
        <v>280</v>
      </c>
      <c r="H495" s="2">
        <v>172.3</v>
      </c>
      <c r="I495" s="2">
        <v>64.8</v>
      </c>
      <c r="J495" s="2" t="s">
        <v>36</v>
      </c>
      <c r="K495" s="2" t="s">
        <v>65</v>
      </c>
      <c r="L495" s="2" t="s">
        <v>31</v>
      </c>
      <c r="M495" s="3">
        <v>45021</v>
      </c>
      <c r="N495" s="4">
        <f>Table1_3[[#This Row],[Admission_Date]]</f>
        <v>45021</v>
      </c>
      <c r="O495" s="5">
        <f>Table1_3[[#This Row],[Admission_Date]]</f>
        <v>45021</v>
      </c>
      <c r="P495" s="2">
        <v>7834.24</v>
      </c>
      <c r="Q495" s="2">
        <f t="shared" si="7"/>
        <v>37</v>
      </c>
      <c r="R495" s="2" t="s">
        <v>2523</v>
      </c>
      <c r="S495" s="2">
        <v>21.827522822056171</v>
      </c>
      <c r="T495" s="2" t="s">
        <v>1567</v>
      </c>
      <c r="U495" t="str">
        <f>INDEX(Table2[Doctor_Name],MATCH(Table1_3[[#This Row],[Department]],Table2[Department],0))</f>
        <v>Dr. Arvind Chen</v>
      </c>
    </row>
    <row r="496" spans="1:21" x14ac:dyDescent="0.35">
      <c r="A496" s="2" t="s">
        <v>715</v>
      </c>
      <c r="B496" s="2" t="s">
        <v>2445</v>
      </c>
      <c r="C496" s="2">
        <v>85</v>
      </c>
      <c r="D496" s="2" t="s">
        <v>52</v>
      </c>
      <c r="E496" s="2" t="s">
        <v>230</v>
      </c>
      <c r="F496" s="2" t="s">
        <v>141</v>
      </c>
      <c r="G496" s="2" t="s">
        <v>102</v>
      </c>
      <c r="H496" s="2">
        <v>171</v>
      </c>
      <c r="I496" s="2">
        <v>128.4</v>
      </c>
      <c r="J496" s="2" t="s">
        <v>19</v>
      </c>
      <c r="K496" s="2" t="s">
        <v>19</v>
      </c>
      <c r="L496" s="2" t="s">
        <v>226</v>
      </c>
      <c r="M496" s="3">
        <v>44911</v>
      </c>
      <c r="N496" s="4">
        <f>Table1_3[[#This Row],[Admission_Date]]</f>
        <v>44911</v>
      </c>
      <c r="O496" s="5">
        <f>Table1_3[[#This Row],[Admission_Date]]</f>
        <v>44911</v>
      </c>
      <c r="P496" s="2">
        <v>26490.25</v>
      </c>
      <c r="Q496" s="2">
        <f t="shared" si="7"/>
        <v>35</v>
      </c>
      <c r="R496" s="2" t="s">
        <v>2525</v>
      </c>
      <c r="S496" s="2">
        <v>43.91094695803838</v>
      </c>
      <c r="T496" s="2" t="s">
        <v>2522</v>
      </c>
      <c r="U496" t="str">
        <f>INDEX(Table2[Doctor_Name],MATCH(Table1_3[[#This Row],[Department]],Table2[Department],0))</f>
        <v>Dr. Vikram Khan</v>
      </c>
    </row>
    <row r="497" spans="1:21" x14ac:dyDescent="0.35">
      <c r="A497" s="2" t="s">
        <v>1386</v>
      </c>
      <c r="B497" s="2" t="s">
        <v>1387</v>
      </c>
      <c r="C497" s="2">
        <v>18</v>
      </c>
      <c r="D497" s="2" t="s">
        <v>29</v>
      </c>
      <c r="E497" s="2" t="s">
        <v>130</v>
      </c>
      <c r="F497" s="2" t="s">
        <v>79</v>
      </c>
      <c r="G497" s="2" t="s">
        <v>102</v>
      </c>
      <c r="H497" s="2">
        <v>152.19999999999999</v>
      </c>
      <c r="I497" s="2">
        <v>82</v>
      </c>
      <c r="J497" s="2" t="s">
        <v>36</v>
      </c>
      <c r="K497" s="2" t="s">
        <v>36</v>
      </c>
      <c r="L497" s="2" t="s">
        <v>86</v>
      </c>
      <c r="M497" s="3">
        <v>45235</v>
      </c>
      <c r="N497" s="4">
        <f>Table1_3[[#This Row],[Admission_Date]]</f>
        <v>45235</v>
      </c>
      <c r="O497" s="5">
        <f>Table1_3[[#This Row],[Admission_Date]]</f>
        <v>45235</v>
      </c>
      <c r="P497" s="2">
        <v>26508.98</v>
      </c>
      <c r="Q497" s="2">
        <f t="shared" si="7"/>
        <v>35</v>
      </c>
      <c r="R497" s="2" t="s">
        <v>2521</v>
      </c>
      <c r="S497" s="2">
        <v>35.398474584758631</v>
      </c>
      <c r="T497" s="2" t="s">
        <v>2522</v>
      </c>
      <c r="U497" t="str">
        <f>INDEX(Table2[Doctor_Name],MATCH(Table1_3[[#This Row],[Department]],Table2[Department],0))</f>
        <v>Dr. Meera Torres</v>
      </c>
    </row>
    <row r="498" spans="1:21" x14ac:dyDescent="0.35">
      <c r="A498" s="2" t="s">
        <v>396</v>
      </c>
      <c r="B498" s="2" t="s">
        <v>397</v>
      </c>
      <c r="C498" s="2">
        <v>6</v>
      </c>
      <c r="D498" s="2" t="s">
        <v>29</v>
      </c>
      <c r="E498" s="2" t="s">
        <v>111</v>
      </c>
      <c r="F498" s="2" t="s">
        <v>120</v>
      </c>
      <c r="G498" s="2" t="s">
        <v>112</v>
      </c>
      <c r="H498" s="2">
        <v>149</v>
      </c>
      <c r="I498" s="2">
        <v>101.1</v>
      </c>
      <c r="J498" s="2" t="s">
        <v>65</v>
      </c>
      <c r="K498" s="2" t="s">
        <v>36</v>
      </c>
      <c r="L498" s="2" t="s">
        <v>42</v>
      </c>
      <c r="M498" s="3">
        <v>44681</v>
      </c>
      <c r="N498" s="4">
        <f>Table1_3[[#This Row],[Admission_Date]]</f>
        <v>44681</v>
      </c>
      <c r="O498" s="5">
        <f>Table1_3[[#This Row],[Admission_Date]]</f>
        <v>44681</v>
      </c>
      <c r="P498" s="2">
        <v>45039.82</v>
      </c>
      <c r="Q498" s="2">
        <f t="shared" si="7"/>
        <v>11</v>
      </c>
      <c r="R498" s="2" t="s">
        <v>2521</v>
      </c>
      <c r="S498" s="2">
        <v>45.538489257240663</v>
      </c>
      <c r="T498" s="2" t="s">
        <v>2522</v>
      </c>
      <c r="U498" t="str">
        <f>INDEX(Table2[Doctor_Name],MATCH(Table1_3[[#This Row],[Department]],Table2[Department],0))</f>
        <v>Dr. Rahul Nair</v>
      </c>
    </row>
    <row r="499" spans="1:21" x14ac:dyDescent="0.35">
      <c r="A499" s="2" t="s">
        <v>171</v>
      </c>
      <c r="B499" s="2" t="s">
        <v>2413</v>
      </c>
      <c r="C499" s="2">
        <v>5</v>
      </c>
      <c r="D499" s="2" t="s">
        <v>138</v>
      </c>
      <c r="E499" s="2" t="s">
        <v>111</v>
      </c>
      <c r="F499" s="2" t="s">
        <v>79</v>
      </c>
      <c r="G499" s="2" t="s">
        <v>60</v>
      </c>
      <c r="H499" s="2">
        <v>186</v>
      </c>
      <c r="I499" s="2">
        <v>68.900000000000006</v>
      </c>
      <c r="J499" s="2" t="s">
        <v>65</v>
      </c>
      <c r="K499" s="2" t="s">
        <v>19</v>
      </c>
      <c r="L499" s="2" t="s">
        <v>143</v>
      </c>
      <c r="M499" s="3">
        <v>44606</v>
      </c>
      <c r="N499" s="4">
        <f>Table1_3[[#This Row],[Admission_Date]]</f>
        <v>44606</v>
      </c>
      <c r="O499" s="5">
        <f>Table1_3[[#This Row],[Admission_Date]]</f>
        <v>44606</v>
      </c>
      <c r="P499" s="2">
        <v>12998.5</v>
      </c>
      <c r="Q499" s="2">
        <f t="shared" si="7"/>
        <v>35</v>
      </c>
      <c r="R499" s="2" t="s">
        <v>2521</v>
      </c>
      <c r="S499" s="2">
        <v>19.915597178864608</v>
      </c>
      <c r="T499" s="2" t="s">
        <v>1567</v>
      </c>
      <c r="U499" t="str">
        <f>INDEX(Table2[Doctor_Name],MATCH(Table1_3[[#This Row],[Department]],Table2[Department],0))</f>
        <v>Dr. Neha Liu</v>
      </c>
    </row>
    <row r="500" spans="1:21" x14ac:dyDescent="0.35">
      <c r="A500" s="2" t="s">
        <v>766</v>
      </c>
      <c r="B500" s="2" t="s">
        <v>571</v>
      </c>
      <c r="C500" s="2">
        <v>25</v>
      </c>
      <c r="D500" s="2" t="s">
        <v>138</v>
      </c>
      <c r="E500" s="2" t="s">
        <v>115</v>
      </c>
      <c r="F500" s="2" t="s">
        <v>273</v>
      </c>
      <c r="G500" s="2" t="s">
        <v>54</v>
      </c>
      <c r="H500" s="2">
        <v>164</v>
      </c>
      <c r="I500" s="2">
        <v>120.4</v>
      </c>
      <c r="J500" s="2" t="s">
        <v>65</v>
      </c>
      <c r="K500" s="2" t="s">
        <v>65</v>
      </c>
      <c r="L500" s="2" t="s">
        <v>175</v>
      </c>
      <c r="M500" s="3">
        <v>44344</v>
      </c>
      <c r="N500" s="4">
        <f>Table1_3[[#This Row],[Admission_Date]]</f>
        <v>44344</v>
      </c>
      <c r="O500" s="5">
        <f>Table1_3[[#This Row],[Admission_Date]]</f>
        <v>44344</v>
      </c>
      <c r="P500" s="2">
        <v>9672.57</v>
      </c>
      <c r="Q500" s="2">
        <f t="shared" si="7"/>
        <v>38</v>
      </c>
      <c r="R500" s="2" t="s">
        <v>2527</v>
      </c>
      <c r="S500" s="2">
        <v>44.765020820939924</v>
      </c>
      <c r="T500" s="2" t="s">
        <v>2522</v>
      </c>
      <c r="U500" t="str">
        <f>INDEX(Table2[Doctor_Name],MATCH(Table1_3[[#This Row],[Department]],Table2[Department],0))</f>
        <v>Dr. Arvind Wilson</v>
      </c>
    </row>
    <row r="501" spans="1:21" x14ac:dyDescent="0.35">
      <c r="A501" s="2" t="s">
        <v>122</v>
      </c>
      <c r="B501" s="2" t="s">
        <v>123</v>
      </c>
      <c r="C501" s="2">
        <v>61</v>
      </c>
      <c r="D501" s="2" t="s">
        <v>52</v>
      </c>
      <c r="E501" s="2" t="s">
        <v>146</v>
      </c>
      <c r="F501" s="2" t="s">
        <v>17</v>
      </c>
      <c r="G501" s="2" t="s">
        <v>124</v>
      </c>
      <c r="H501" s="2">
        <v>155.4</v>
      </c>
      <c r="I501" s="2">
        <v>96</v>
      </c>
      <c r="J501" s="2" t="s">
        <v>36</v>
      </c>
      <c r="K501" s="2" t="s">
        <v>65</v>
      </c>
      <c r="L501" s="2" t="s">
        <v>69</v>
      </c>
      <c r="M501" s="3">
        <v>45256</v>
      </c>
      <c r="N501" s="4">
        <f>Table1_3[[#This Row],[Admission_Date]]</f>
        <v>45256</v>
      </c>
      <c r="O501" s="5">
        <f>Table1_3[[#This Row],[Admission_Date]]</f>
        <v>45256</v>
      </c>
      <c r="P501" s="2">
        <v>5495.19</v>
      </c>
      <c r="Q501" s="2">
        <f t="shared" si="7"/>
        <v>107</v>
      </c>
      <c r="R501" s="2" t="s">
        <v>2525</v>
      </c>
      <c r="S501" s="2">
        <v>39.752935505831253</v>
      </c>
      <c r="T501" s="2" t="s">
        <v>2522</v>
      </c>
      <c r="U501" t="str">
        <f>INDEX(Table2[Doctor_Name],MATCH(Table1_3[[#This Row],[Department]],Table2[Department],0))</f>
        <v>Dr. Vikram Wang</v>
      </c>
    </row>
    <row r="502" spans="1:21" x14ac:dyDescent="0.35">
      <c r="A502" s="2" t="s">
        <v>537</v>
      </c>
      <c r="B502" s="2" t="s">
        <v>538</v>
      </c>
      <c r="C502" s="2">
        <v>33</v>
      </c>
      <c r="D502" s="2" t="s">
        <v>29</v>
      </c>
      <c r="E502" s="2" t="s">
        <v>89</v>
      </c>
      <c r="F502" s="2" t="s">
        <v>17</v>
      </c>
      <c r="G502" s="2" t="s">
        <v>80</v>
      </c>
      <c r="H502" s="2">
        <v>175.2</v>
      </c>
      <c r="I502" s="2">
        <v>91.8</v>
      </c>
      <c r="J502" s="2" t="s">
        <v>65</v>
      </c>
      <c r="K502" s="2" t="s">
        <v>65</v>
      </c>
      <c r="L502" s="2" t="s">
        <v>69</v>
      </c>
      <c r="M502" s="3">
        <v>44424</v>
      </c>
      <c r="N502" s="4">
        <f>Table1_3[[#This Row],[Admission_Date]]</f>
        <v>44424</v>
      </c>
      <c r="O502" s="5">
        <f>Table1_3[[#This Row],[Admission_Date]]</f>
        <v>44424</v>
      </c>
      <c r="P502" s="2">
        <v>23813.45</v>
      </c>
      <c r="Q502" s="2">
        <f t="shared" si="7"/>
        <v>107</v>
      </c>
      <c r="R502" s="2" t="s">
        <v>2523</v>
      </c>
      <c r="S502" s="2">
        <v>29.90711202852318</v>
      </c>
      <c r="T502" s="2" t="s">
        <v>2526</v>
      </c>
      <c r="U502" t="str">
        <f>INDEX(Table2[Doctor_Name],MATCH(Table1_3[[#This Row],[Department]],Table2[Department],0))</f>
        <v>Dr. Vikram Wang</v>
      </c>
    </row>
    <row r="503" spans="1:21" x14ac:dyDescent="0.35">
      <c r="A503" s="2" t="s">
        <v>1149</v>
      </c>
      <c r="B503" s="2" t="s">
        <v>1150</v>
      </c>
      <c r="C503" s="2">
        <v>8</v>
      </c>
      <c r="D503" s="2" t="s">
        <v>29</v>
      </c>
      <c r="E503" s="2" t="s">
        <v>111</v>
      </c>
      <c r="F503" s="2" t="s">
        <v>17</v>
      </c>
      <c r="G503" s="2" t="s">
        <v>36</v>
      </c>
      <c r="H503" s="2">
        <v>157</v>
      </c>
      <c r="I503" s="2">
        <v>113</v>
      </c>
      <c r="J503" s="2" t="s">
        <v>65</v>
      </c>
      <c r="K503" s="2" t="s">
        <v>65</v>
      </c>
      <c r="L503" s="2" t="s">
        <v>103</v>
      </c>
      <c r="M503" s="3">
        <v>44362</v>
      </c>
      <c r="N503" s="4">
        <f>Table1_3[[#This Row],[Admission_Date]]</f>
        <v>44362</v>
      </c>
      <c r="O503" s="5">
        <f>Table1_3[[#This Row],[Admission_Date]]</f>
        <v>44362</v>
      </c>
      <c r="P503" s="2">
        <v>24199.19</v>
      </c>
      <c r="Q503" s="2">
        <f t="shared" si="7"/>
        <v>31</v>
      </c>
      <c r="R503" s="2" t="s">
        <v>2521</v>
      </c>
      <c r="S503" s="2">
        <v>45.843644772607405</v>
      </c>
      <c r="T503" s="2" t="s">
        <v>2522</v>
      </c>
      <c r="U503" t="str">
        <f>INDEX(Table2[Doctor_Name],MATCH(Table1_3[[#This Row],[Department]],Table2[Department],0))</f>
        <v>Dr. Suresh Johnson</v>
      </c>
    </row>
    <row r="504" spans="1:21" x14ac:dyDescent="0.35">
      <c r="A504" s="2" t="s">
        <v>588</v>
      </c>
      <c r="B504" s="2" t="s">
        <v>2439</v>
      </c>
      <c r="C504" s="2">
        <v>62</v>
      </c>
      <c r="D504" s="2" t="s">
        <v>29</v>
      </c>
      <c r="E504" s="2" t="s">
        <v>130</v>
      </c>
      <c r="F504" s="2" t="s">
        <v>273</v>
      </c>
      <c r="G504" s="2" t="s">
        <v>208</v>
      </c>
      <c r="H504" s="2">
        <v>156.30000000000001</v>
      </c>
      <c r="I504" s="2">
        <v>57.7</v>
      </c>
      <c r="J504" s="2" t="s">
        <v>36</v>
      </c>
      <c r="K504" s="2" t="s">
        <v>36</v>
      </c>
      <c r="L504" s="2" t="s">
        <v>55</v>
      </c>
      <c r="M504" s="3">
        <v>44379</v>
      </c>
      <c r="N504" s="4">
        <f>Table1_3[[#This Row],[Admission_Date]]</f>
        <v>44379</v>
      </c>
      <c r="O504" s="5">
        <f>Table1_3[[#This Row],[Admission_Date]]</f>
        <v>44379</v>
      </c>
      <c r="P504" s="2">
        <v>24367.58</v>
      </c>
      <c r="Q504" s="2">
        <f t="shared" si="7"/>
        <v>42</v>
      </c>
      <c r="R504" s="2" t="s">
        <v>2525</v>
      </c>
      <c r="S504" s="2">
        <v>23.618801548443713</v>
      </c>
      <c r="T504" s="2" t="s">
        <v>1567</v>
      </c>
      <c r="U504" t="str">
        <f>INDEX(Table2[Doctor_Name],MATCH(Table1_3[[#This Row],[Department]],Table2[Department],0))</f>
        <v>Dr. Sunita Sanchez</v>
      </c>
    </row>
    <row r="505" spans="1:21" x14ac:dyDescent="0.35">
      <c r="A505" s="2" t="s">
        <v>38</v>
      </c>
      <c r="B505" s="2" t="s">
        <v>39</v>
      </c>
      <c r="C505" s="2">
        <v>16</v>
      </c>
      <c r="D505" s="2" t="s">
        <v>52</v>
      </c>
      <c r="E505" s="2" t="s">
        <v>146</v>
      </c>
      <c r="F505" s="2" t="s">
        <v>17</v>
      </c>
      <c r="G505" s="2" t="s">
        <v>40</v>
      </c>
      <c r="H505" s="2">
        <v>169.5</v>
      </c>
      <c r="I505" s="2">
        <v>93</v>
      </c>
      <c r="J505" s="2" t="s">
        <v>65</v>
      </c>
      <c r="K505" s="2" t="s">
        <v>36</v>
      </c>
      <c r="L505" s="2" t="s">
        <v>42</v>
      </c>
      <c r="M505" s="3">
        <v>44290</v>
      </c>
      <c r="N505" s="4">
        <f>Table1_3[[#This Row],[Admission_Date]]</f>
        <v>44290</v>
      </c>
      <c r="O505" s="5">
        <f>Table1_3[[#This Row],[Admission_Date]]</f>
        <v>44290</v>
      </c>
      <c r="P505" s="2">
        <v>43726.16</v>
      </c>
      <c r="Q505" s="2">
        <f t="shared" si="7"/>
        <v>45</v>
      </c>
      <c r="R505" s="2" t="s">
        <v>2521</v>
      </c>
      <c r="S505" s="2">
        <v>32.37006291278356</v>
      </c>
      <c r="T505" s="2" t="s">
        <v>2522</v>
      </c>
      <c r="U505" t="str">
        <f>INDEX(Table2[Doctor_Name],MATCH(Table1_3[[#This Row],[Department]],Table2[Department],0))</f>
        <v>Dr. Rahul Nair</v>
      </c>
    </row>
    <row r="506" spans="1:21" x14ac:dyDescent="0.35">
      <c r="A506" s="2" t="s">
        <v>841</v>
      </c>
      <c r="B506" s="2" t="s">
        <v>842</v>
      </c>
      <c r="C506" s="2">
        <v>78</v>
      </c>
      <c r="D506" s="2" t="s">
        <v>29</v>
      </c>
      <c r="E506" s="2" t="s">
        <v>130</v>
      </c>
      <c r="F506" s="2" t="s">
        <v>79</v>
      </c>
      <c r="G506" s="2" t="s">
        <v>208</v>
      </c>
      <c r="H506" s="2">
        <v>166.8</v>
      </c>
      <c r="I506" s="2">
        <v>47</v>
      </c>
      <c r="J506" s="2" t="s">
        <v>65</v>
      </c>
      <c r="K506" s="2" t="s">
        <v>36</v>
      </c>
      <c r="L506" s="2" t="s">
        <v>55</v>
      </c>
      <c r="M506" s="3">
        <v>44928</v>
      </c>
      <c r="N506" s="4">
        <f>Table1_3[[#This Row],[Admission_Date]]</f>
        <v>44928</v>
      </c>
      <c r="O506" s="5">
        <f>Table1_3[[#This Row],[Admission_Date]]</f>
        <v>44928</v>
      </c>
      <c r="P506" s="2">
        <v>22455.32</v>
      </c>
      <c r="Q506" s="2">
        <f t="shared" si="7"/>
        <v>42</v>
      </c>
      <c r="R506" s="2" t="s">
        <v>2525</v>
      </c>
      <c r="S506" s="2">
        <v>16.892960451782454</v>
      </c>
      <c r="T506" s="2" t="s">
        <v>2524</v>
      </c>
      <c r="U506" t="str">
        <f>INDEX(Table2[Doctor_Name],MATCH(Table1_3[[#This Row],[Department]],Table2[Department],0))</f>
        <v>Dr. Sunita Sanchez</v>
      </c>
    </row>
    <row r="507" spans="1:21" x14ac:dyDescent="0.35">
      <c r="A507" s="2" t="s">
        <v>1129</v>
      </c>
      <c r="B507" s="2" t="s">
        <v>1130</v>
      </c>
      <c r="C507" s="2">
        <v>90</v>
      </c>
      <c r="D507" s="2" t="s">
        <v>52</v>
      </c>
      <c r="E507" s="2" t="s">
        <v>78</v>
      </c>
      <c r="F507" s="2" t="s">
        <v>134</v>
      </c>
      <c r="G507" s="2" t="s">
        <v>208</v>
      </c>
      <c r="H507" s="2">
        <v>195</v>
      </c>
      <c r="I507" s="2">
        <v>58</v>
      </c>
      <c r="J507" s="2" t="s">
        <v>19</v>
      </c>
      <c r="K507" s="2" t="s">
        <v>65</v>
      </c>
      <c r="L507" s="2" t="s">
        <v>107</v>
      </c>
      <c r="M507" s="3">
        <v>44776</v>
      </c>
      <c r="N507" s="4">
        <f>Table1_3[[#This Row],[Admission_Date]]</f>
        <v>44776</v>
      </c>
      <c r="O507" s="5">
        <f>Table1_3[[#This Row],[Admission_Date]]</f>
        <v>44776</v>
      </c>
      <c r="P507" s="2">
        <v>18933.3</v>
      </c>
      <c r="Q507" s="2">
        <f t="shared" si="7"/>
        <v>83</v>
      </c>
      <c r="R507" s="2" t="s">
        <v>2525</v>
      </c>
      <c r="S507" s="2">
        <v>15.253122945430638</v>
      </c>
      <c r="T507" s="2" t="s">
        <v>2524</v>
      </c>
      <c r="U507" t="str">
        <f>INDEX(Table2[Doctor_Name],MATCH(Table1_3[[#This Row],[Department]],Table2[Department],0))</f>
        <v>Dr. Anita Sanchez</v>
      </c>
    </row>
    <row r="508" spans="1:21" x14ac:dyDescent="0.35">
      <c r="A508" s="2" t="s">
        <v>457</v>
      </c>
      <c r="B508" s="2" t="s">
        <v>458</v>
      </c>
      <c r="C508" s="2">
        <v>15</v>
      </c>
      <c r="D508" s="2" t="s">
        <v>29</v>
      </c>
      <c r="E508" s="2" t="s">
        <v>16</v>
      </c>
      <c r="F508" s="2" t="s">
        <v>141</v>
      </c>
      <c r="G508" s="2" t="s">
        <v>417</v>
      </c>
      <c r="H508" s="2">
        <v>157</v>
      </c>
      <c r="I508" s="2" t="s">
        <v>2519</v>
      </c>
      <c r="J508" s="2" t="s">
        <v>65</v>
      </c>
      <c r="K508" s="2" t="s">
        <v>65</v>
      </c>
      <c r="L508" s="2" t="s">
        <v>69</v>
      </c>
      <c r="M508" s="3">
        <v>44980</v>
      </c>
      <c r="N508" s="4">
        <f>Table1_3[[#This Row],[Admission_Date]]</f>
        <v>44980</v>
      </c>
      <c r="O508" s="5">
        <f>Table1_3[[#This Row],[Admission_Date]]</f>
        <v>44980</v>
      </c>
      <c r="P508" s="2">
        <v>22478.98</v>
      </c>
      <c r="Q508" s="2">
        <f t="shared" si="7"/>
        <v>107</v>
      </c>
      <c r="R508" s="2" t="s">
        <v>2521</v>
      </c>
      <c r="S508" s="2" t="s">
        <v>36</v>
      </c>
      <c r="T508" s="2" t="s">
        <v>36</v>
      </c>
      <c r="U508" t="str">
        <f>INDEX(Table2[Doctor_Name],MATCH(Table1_3[[#This Row],[Department]],Table2[Department],0))</f>
        <v>Dr. Vikram Wang</v>
      </c>
    </row>
    <row r="509" spans="1:21" x14ac:dyDescent="0.35">
      <c r="A509" s="2" t="s">
        <v>183</v>
      </c>
      <c r="B509" s="2" t="s">
        <v>184</v>
      </c>
      <c r="C509" s="2" t="s">
        <v>2519</v>
      </c>
      <c r="D509" s="2" t="s">
        <v>29</v>
      </c>
      <c r="E509" s="2" t="s">
        <v>119</v>
      </c>
      <c r="F509" s="2" t="s">
        <v>17</v>
      </c>
      <c r="G509" s="2" t="s">
        <v>36</v>
      </c>
      <c r="H509" s="2">
        <v>167.9</v>
      </c>
      <c r="I509" s="2">
        <v>70.7</v>
      </c>
      <c r="J509" s="2" t="s">
        <v>65</v>
      </c>
      <c r="K509" s="2" t="s">
        <v>36</v>
      </c>
      <c r="L509" s="2" t="s">
        <v>86</v>
      </c>
      <c r="M509" s="3">
        <v>44313</v>
      </c>
      <c r="N509" s="4">
        <f>Table1_3[[#This Row],[Admission_Date]]</f>
        <v>44313</v>
      </c>
      <c r="O509" s="5">
        <f>Table1_3[[#This Row],[Admission_Date]]</f>
        <v>44313</v>
      </c>
      <c r="P509" s="2">
        <v>27888.06</v>
      </c>
      <c r="Q509" s="2">
        <f t="shared" si="7"/>
        <v>35</v>
      </c>
      <c r="R509" s="2" t="s">
        <v>36</v>
      </c>
      <c r="S509" s="2">
        <v>25.079450777764492</v>
      </c>
      <c r="T509" s="2" t="s">
        <v>2526</v>
      </c>
      <c r="U509" t="str">
        <f>INDEX(Table2[Doctor_Name],MATCH(Table1_3[[#This Row],[Department]],Table2[Department],0))</f>
        <v>Dr. Meera Torres</v>
      </c>
    </row>
    <row r="510" spans="1:21" x14ac:dyDescent="0.35">
      <c r="A510" s="2" t="s">
        <v>596</v>
      </c>
      <c r="B510" s="2" t="s">
        <v>597</v>
      </c>
      <c r="C510" s="2">
        <v>67</v>
      </c>
      <c r="D510" s="2" t="s">
        <v>29</v>
      </c>
      <c r="E510" s="2" t="s">
        <v>73</v>
      </c>
      <c r="F510" s="2" t="s">
        <v>2518</v>
      </c>
      <c r="G510" s="2" t="s">
        <v>60</v>
      </c>
      <c r="H510" s="2">
        <v>170.8</v>
      </c>
      <c r="I510" s="2">
        <v>65.3</v>
      </c>
      <c r="J510" s="2" t="s">
        <v>65</v>
      </c>
      <c r="K510" s="2" t="s">
        <v>65</v>
      </c>
      <c r="L510" s="2" t="s">
        <v>42</v>
      </c>
      <c r="M510" s="3">
        <v>44802</v>
      </c>
      <c r="N510" s="4">
        <f>Table1_3[[#This Row],[Admission_Date]]</f>
        <v>44802</v>
      </c>
      <c r="O510" s="5">
        <f>Table1_3[[#This Row],[Admission_Date]]</f>
        <v>44802</v>
      </c>
      <c r="P510" s="2">
        <v>0</v>
      </c>
      <c r="Q510" s="2">
        <f t="shared" si="7"/>
        <v>45</v>
      </c>
      <c r="R510" s="2" t="s">
        <v>2525</v>
      </c>
      <c r="S510" s="2">
        <v>22.38398718799532</v>
      </c>
      <c r="T510" s="2" t="s">
        <v>1567</v>
      </c>
      <c r="U510" t="str">
        <f>INDEX(Table2[Doctor_Name],MATCH(Table1_3[[#This Row],[Department]],Table2[Department],0))</f>
        <v>Dr. Rahul Nair</v>
      </c>
    </row>
    <row r="511" spans="1:21" x14ac:dyDescent="0.35">
      <c r="A511" s="2" t="s">
        <v>1163</v>
      </c>
      <c r="B511" s="2" t="s">
        <v>2486</v>
      </c>
      <c r="C511" s="2">
        <v>85</v>
      </c>
      <c r="D511" s="2" t="s">
        <v>138</v>
      </c>
      <c r="E511" s="2" t="s">
        <v>53</v>
      </c>
      <c r="F511" s="2" t="s">
        <v>120</v>
      </c>
      <c r="G511" s="2" t="s">
        <v>60</v>
      </c>
      <c r="H511" s="2">
        <v>163</v>
      </c>
      <c r="I511" s="2" t="s">
        <v>2519</v>
      </c>
      <c r="J511" s="2" t="s">
        <v>65</v>
      </c>
      <c r="K511" s="2" t="s">
        <v>65</v>
      </c>
      <c r="L511" s="2" t="s">
        <v>143</v>
      </c>
      <c r="M511" s="3">
        <v>44643</v>
      </c>
      <c r="N511" s="4">
        <f>Table1_3[[#This Row],[Admission_Date]]</f>
        <v>44643</v>
      </c>
      <c r="O511" s="5">
        <f>Table1_3[[#This Row],[Admission_Date]]</f>
        <v>44643</v>
      </c>
      <c r="P511" s="2">
        <v>3399.95</v>
      </c>
      <c r="Q511" s="2">
        <f t="shared" si="7"/>
        <v>35</v>
      </c>
      <c r="R511" s="2" t="s">
        <v>2525</v>
      </c>
      <c r="S511" s="2" t="s">
        <v>36</v>
      </c>
      <c r="T511" s="2" t="s">
        <v>36</v>
      </c>
      <c r="U511" t="str">
        <f>INDEX(Table2[Doctor_Name],MATCH(Table1_3[[#This Row],[Department]],Table2[Department],0))</f>
        <v>Dr. Neha Liu</v>
      </c>
    </row>
    <row r="512" spans="1:21" x14ac:dyDescent="0.35">
      <c r="A512" s="2" t="s">
        <v>222</v>
      </c>
      <c r="B512" s="2" t="s">
        <v>223</v>
      </c>
      <c r="C512" s="2">
        <v>36</v>
      </c>
      <c r="D512" s="2" t="s">
        <v>29</v>
      </c>
      <c r="E512" s="2" t="s">
        <v>16</v>
      </c>
      <c r="F512" s="2" t="s">
        <v>17</v>
      </c>
      <c r="G512" s="2" t="s">
        <v>112</v>
      </c>
      <c r="H512" s="2">
        <v>157.4</v>
      </c>
      <c r="I512" s="2">
        <v>99</v>
      </c>
      <c r="J512" s="2" t="s">
        <v>36</v>
      </c>
      <c r="K512" s="2" t="s">
        <v>19</v>
      </c>
      <c r="L512" s="2" t="s">
        <v>199</v>
      </c>
      <c r="M512" s="3">
        <v>45098</v>
      </c>
      <c r="N512" s="4">
        <f>Table1_3[[#This Row],[Admission_Date]]</f>
        <v>45098</v>
      </c>
      <c r="O512" s="5">
        <f>Table1_3[[#This Row],[Admission_Date]]</f>
        <v>45098</v>
      </c>
      <c r="P512" s="2">
        <v>16208.05</v>
      </c>
      <c r="Q512" s="2">
        <f t="shared" si="7"/>
        <v>34</v>
      </c>
      <c r="R512" s="2" t="s">
        <v>2523</v>
      </c>
      <c r="S512" s="2">
        <v>39.960023830705119</v>
      </c>
      <c r="T512" s="2" t="s">
        <v>2522</v>
      </c>
      <c r="U512" t="str">
        <f>INDEX(Table2[Doctor_Name],MATCH(Table1_3[[#This Row],[Department]],Table2[Department],0))</f>
        <v>Dr. Vikram Torres</v>
      </c>
    </row>
    <row r="513" spans="1:21" x14ac:dyDescent="0.35">
      <c r="A513" s="2" t="s">
        <v>1139</v>
      </c>
      <c r="B513" s="2" t="s">
        <v>2484</v>
      </c>
      <c r="C513" s="2">
        <v>46</v>
      </c>
      <c r="D513" s="2" t="s">
        <v>52</v>
      </c>
      <c r="E513" s="2" t="s">
        <v>89</v>
      </c>
      <c r="F513" s="2" t="s">
        <v>141</v>
      </c>
      <c r="G513" s="2" t="s">
        <v>124</v>
      </c>
      <c r="H513" s="2">
        <v>195</v>
      </c>
      <c r="I513" s="2">
        <v>47</v>
      </c>
      <c r="J513" s="2" t="s">
        <v>65</v>
      </c>
      <c r="K513" s="2" t="s">
        <v>65</v>
      </c>
      <c r="L513" s="2" t="s">
        <v>107</v>
      </c>
      <c r="M513" s="3">
        <v>44962</v>
      </c>
      <c r="N513" s="4">
        <f>Table1_3[[#This Row],[Admission_Date]]</f>
        <v>44962</v>
      </c>
      <c r="O513" s="5">
        <f>Table1_3[[#This Row],[Admission_Date]]</f>
        <v>44962</v>
      </c>
      <c r="P513" s="2">
        <v>32273.41</v>
      </c>
      <c r="Q513" s="2">
        <f t="shared" si="7"/>
        <v>83</v>
      </c>
      <c r="R513" s="2" t="s">
        <v>2523</v>
      </c>
      <c r="S513" s="2">
        <v>12.360289283366207</v>
      </c>
      <c r="T513" s="2" t="s">
        <v>2524</v>
      </c>
      <c r="U513" t="str">
        <f>INDEX(Table2[Doctor_Name],MATCH(Table1_3[[#This Row],[Department]],Table2[Department],0))</f>
        <v>Dr. Anita Sanchez</v>
      </c>
    </row>
    <row r="514" spans="1:21" x14ac:dyDescent="0.35">
      <c r="A514" s="2" t="s">
        <v>1276</v>
      </c>
      <c r="B514" s="2" t="s">
        <v>643</v>
      </c>
      <c r="C514" s="2">
        <v>48</v>
      </c>
      <c r="D514" s="2" t="s">
        <v>138</v>
      </c>
      <c r="E514" s="2" t="s">
        <v>59</v>
      </c>
      <c r="F514" s="2" t="s">
        <v>273</v>
      </c>
      <c r="G514" s="2" t="s">
        <v>90</v>
      </c>
      <c r="H514" s="2">
        <v>160</v>
      </c>
      <c r="I514" s="2">
        <v>42</v>
      </c>
      <c r="J514" s="2" t="s">
        <v>65</v>
      </c>
      <c r="K514" s="2" t="s">
        <v>19</v>
      </c>
      <c r="L514" s="2" t="s">
        <v>55</v>
      </c>
      <c r="M514" s="3">
        <v>45118</v>
      </c>
      <c r="N514" s="4">
        <f>Table1_3[[#This Row],[Admission_Date]]</f>
        <v>45118</v>
      </c>
      <c r="O514" s="5">
        <f>Table1_3[[#This Row],[Admission_Date]]</f>
        <v>45118</v>
      </c>
      <c r="P514" s="2">
        <v>35785.589999999997</v>
      </c>
      <c r="Q514" s="2">
        <f t="shared" ref="Q514:Q541" si="8">SUMPRODUCT(($L$2:$L$5000=L514)*($O$2:$O$5000&gt;P514))+1</f>
        <v>42</v>
      </c>
      <c r="R514" s="2" t="s">
        <v>2523</v>
      </c>
      <c r="S514" s="2">
        <v>16.406249999999996</v>
      </c>
      <c r="T514" s="2" t="s">
        <v>2524</v>
      </c>
      <c r="U514" t="str">
        <f>INDEX(Table2[Doctor_Name],MATCH(Table1_3[[#This Row],[Department]],Table2[Department],0))</f>
        <v>Dr. Sunita Sanchez</v>
      </c>
    </row>
    <row r="515" spans="1:21" x14ac:dyDescent="0.35">
      <c r="A515" s="2" t="s">
        <v>939</v>
      </c>
      <c r="B515" s="2" t="s">
        <v>940</v>
      </c>
      <c r="C515" s="2">
        <v>11</v>
      </c>
      <c r="D515" s="2" t="s">
        <v>138</v>
      </c>
      <c r="E515" s="2" t="s">
        <v>130</v>
      </c>
      <c r="F515" s="2" t="s">
        <v>36</v>
      </c>
      <c r="G515" s="2" t="s">
        <v>18</v>
      </c>
      <c r="H515" s="2">
        <v>154.30000000000001</v>
      </c>
      <c r="I515" s="2">
        <v>99.3</v>
      </c>
      <c r="J515" s="2" t="s">
        <v>65</v>
      </c>
      <c r="K515" s="2" t="s">
        <v>19</v>
      </c>
      <c r="L515" s="2" t="s">
        <v>226</v>
      </c>
      <c r="M515" s="3">
        <v>44797</v>
      </c>
      <c r="N515" s="4">
        <f>Table1_3[[#This Row],[Admission_Date]]</f>
        <v>44797</v>
      </c>
      <c r="O515" s="5">
        <f>Table1_3[[#This Row],[Admission_Date]]</f>
        <v>44797</v>
      </c>
      <c r="P515" s="2">
        <v>16769.88</v>
      </c>
      <c r="Q515" s="2">
        <f t="shared" si="8"/>
        <v>35</v>
      </c>
      <c r="R515" s="2" t="s">
        <v>2521</v>
      </c>
      <c r="S515" s="2">
        <v>41.707810953151579</v>
      </c>
      <c r="T515" s="2" t="s">
        <v>2522</v>
      </c>
      <c r="U515" t="str">
        <f>INDEX(Table2[Doctor_Name],MATCH(Table1_3[[#This Row],[Department]],Table2[Department],0))</f>
        <v>Dr. Vikram Khan</v>
      </c>
    </row>
    <row r="516" spans="1:21" x14ac:dyDescent="0.35">
      <c r="A516" s="2" t="s">
        <v>1465</v>
      </c>
      <c r="B516" s="2" t="s">
        <v>1466</v>
      </c>
      <c r="C516" s="2">
        <v>53</v>
      </c>
      <c r="D516" s="2" t="s">
        <v>138</v>
      </c>
      <c r="E516" s="2" t="s">
        <v>45</v>
      </c>
      <c r="F516" s="2" t="s">
        <v>17</v>
      </c>
      <c r="G516" s="2" t="s">
        <v>18</v>
      </c>
      <c r="H516" s="2">
        <v>190.7</v>
      </c>
      <c r="I516" s="2">
        <v>80.400000000000006</v>
      </c>
      <c r="J516" s="2" t="s">
        <v>65</v>
      </c>
      <c r="K516" s="2" t="s">
        <v>65</v>
      </c>
      <c r="L516" s="2" t="s">
        <v>199</v>
      </c>
      <c r="M516" s="3">
        <v>44453</v>
      </c>
      <c r="N516" s="4">
        <f>Table1_3[[#This Row],[Admission_Date]]</f>
        <v>44453</v>
      </c>
      <c r="O516" s="5">
        <f>Table1_3[[#This Row],[Admission_Date]]</f>
        <v>44453</v>
      </c>
      <c r="P516" s="2">
        <v>12624.72</v>
      </c>
      <c r="Q516" s="2">
        <f t="shared" si="8"/>
        <v>34</v>
      </c>
      <c r="R516" s="2" t="s">
        <v>2523</v>
      </c>
      <c r="S516" s="2">
        <v>22.108265053899899</v>
      </c>
      <c r="T516" s="2" t="s">
        <v>1567</v>
      </c>
      <c r="U516" t="str">
        <f>INDEX(Table2[Doctor_Name],MATCH(Table1_3[[#This Row],[Department]],Table2[Department],0))</f>
        <v>Dr. Vikram Torres</v>
      </c>
    </row>
    <row r="517" spans="1:21" x14ac:dyDescent="0.35">
      <c r="A517" s="2" t="s">
        <v>836</v>
      </c>
      <c r="B517" s="2" t="s">
        <v>837</v>
      </c>
      <c r="C517" s="2">
        <v>16</v>
      </c>
      <c r="D517" s="2" t="s">
        <v>138</v>
      </c>
      <c r="E517" s="2" t="s">
        <v>217</v>
      </c>
      <c r="F517" s="2" t="s">
        <v>36</v>
      </c>
      <c r="G517" s="2" t="s">
        <v>160</v>
      </c>
      <c r="H517" s="2">
        <v>163</v>
      </c>
      <c r="I517" s="2">
        <v>119</v>
      </c>
      <c r="J517" s="2" t="s">
        <v>19</v>
      </c>
      <c r="K517" s="2" t="s">
        <v>65</v>
      </c>
      <c r="L517" s="2" t="s">
        <v>103</v>
      </c>
      <c r="M517" s="3">
        <v>44736</v>
      </c>
      <c r="N517" s="4">
        <f>Table1_3[[#This Row],[Admission_Date]]</f>
        <v>44736</v>
      </c>
      <c r="O517" s="5">
        <f>Table1_3[[#This Row],[Admission_Date]]</f>
        <v>44736</v>
      </c>
      <c r="P517" s="2">
        <v>35713.4</v>
      </c>
      <c r="Q517" s="2">
        <f t="shared" si="8"/>
        <v>31</v>
      </c>
      <c r="R517" s="2" t="s">
        <v>2521</v>
      </c>
      <c r="S517" s="2">
        <v>44.789039858481694</v>
      </c>
      <c r="T517" s="2" t="s">
        <v>2522</v>
      </c>
      <c r="U517" t="str">
        <f>INDEX(Table2[Doctor_Name],MATCH(Table1_3[[#This Row],[Department]],Table2[Department],0))</f>
        <v>Dr. Suresh Johnson</v>
      </c>
    </row>
    <row r="518" spans="1:21" x14ac:dyDescent="0.35">
      <c r="A518" s="2" t="s">
        <v>1191</v>
      </c>
      <c r="B518" s="2" t="s">
        <v>1192</v>
      </c>
      <c r="C518" s="2">
        <v>17</v>
      </c>
      <c r="D518" s="2" t="s">
        <v>52</v>
      </c>
      <c r="E518" s="2" t="s">
        <v>78</v>
      </c>
      <c r="F518" s="2" t="s">
        <v>2518</v>
      </c>
      <c r="G518" s="2" t="s">
        <v>60</v>
      </c>
      <c r="H518" s="2">
        <v>161</v>
      </c>
      <c r="I518" s="2">
        <v>50.7</v>
      </c>
      <c r="J518" s="2" t="s">
        <v>36</v>
      </c>
      <c r="K518" s="2" t="s">
        <v>65</v>
      </c>
      <c r="L518" s="2" t="s">
        <v>2537</v>
      </c>
      <c r="M518" s="3">
        <v>44417</v>
      </c>
      <c r="N518" s="4">
        <f>Table1_3[[#This Row],[Admission_Date]]</f>
        <v>44417</v>
      </c>
      <c r="O518" s="5">
        <f>Table1_3[[#This Row],[Admission_Date]]</f>
        <v>44417</v>
      </c>
      <c r="P518" s="2">
        <v>2739.27</v>
      </c>
      <c r="Q518" s="2">
        <f t="shared" si="8"/>
        <v>30</v>
      </c>
      <c r="R518" s="2" t="s">
        <v>2521</v>
      </c>
      <c r="S518" s="2">
        <v>19.559430577524015</v>
      </c>
      <c r="T518" s="2" t="s">
        <v>1567</v>
      </c>
      <c r="U518" t="str">
        <f>INDEX(Table2[Doctor_Name],MATCH(Table1_3[[#This Row],[Department]],Table2[Department],0))</f>
        <v>Dr. Sunita Zhang</v>
      </c>
    </row>
    <row r="519" spans="1:21" x14ac:dyDescent="0.35">
      <c r="A519" s="2" t="s">
        <v>903</v>
      </c>
      <c r="B519" s="2" t="s">
        <v>904</v>
      </c>
      <c r="C519" s="2">
        <v>62</v>
      </c>
      <c r="D519" s="2" t="s">
        <v>138</v>
      </c>
      <c r="E519" s="2" t="s">
        <v>89</v>
      </c>
      <c r="F519" s="2" t="s">
        <v>120</v>
      </c>
      <c r="G519" s="2" t="s">
        <v>295</v>
      </c>
      <c r="H519" s="2">
        <v>160</v>
      </c>
      <c r="I519" s="2">
        <v>40.700000000000003</v>
      </c>
      <c r="J519" s="2" t="s">
        <v>36</v>
      </c>
      <c r="K519" s="2" t="s">
        <v>36</v>
      </c>
      <c r="L519" s="2" t="s">
        <v>31</v>
      </c>
      <c r="M519" s="3">
        <v>44973</v>
      </c>
      <c r="N519" s="4">
        <f>Table1_3[[#This Row],[Admission_Date]]</f>
        <v>44973</v>
      </c>
      <c r="O519" s="5">
        <f>Table1_3[[#This Row],[Admission_Date]]</f>
        <v>44973</v>
      </c>
      <c r="P519" s="2">
        <v>22210.06</v>
      </c>
      <c r="Q519" s="2">
        <f t="shared" si="8"/>
        <v>37</v>
      </c>
      <c r="R519" s="2" t="s">
        <v>2525</v>
      </c>
      <c r="S519" s="2">
        <v>15.898437499999998</v>
      </c>
      <c r="T519" s="2" t="s">
        <v>2524</v>
      </c>
      <c r="U519" t="str">
        <f>INDEX(Table2[Doctor_Name],MATCH(Table1_3[[#This Row],[Department]],Table2[Department],0))</f>
        <v>Dr. Arvind Chen</v>
      </c>
    </row>
    <row r="520" spans="1:21" x14ac:dyDescent="0.35">
      <c r="A520" s="2" t="s">
        <v>1443</v>
      </c>
      <c r="B520" s="2" t="s">
        <v>1444</v>
      </c>
      <c r="C520" s="2">
        <v>73</v>
      </c>
      <c r="D520" s="2" t="s">
        <v>52</v>
      </c>
      <c r="E520" s="2" t="s">
        <v>78</v>
      </c>
      <c r="F520" s="2" t="s">
        <v>36</v>
      </c>
      <c r="G520" s="2" t="s">
        <v>280</v>
      </c>
      <c r="H520" s="2">
        <v>161</v>
      </c>
      <c r="I520" s="2">
        <v>44</v>
      </c>
      <c r="J520" s="2" t="s">
        <v>65</v>
      </c>
      <c r="K520" s="2" t="s">
        <v>19</v>
      </c>
      <c r="L520" s="2" t="s">
        <v>107</v>
      </c>
      <c r="M520" s="3">
        <v>44722</v>
      </c>
      <c r="N520" s="4">
        <f>Table1_3[[#This Row],[Admission_Date]]</f>
        <v>44722</v>
      </c>
      <c r="O520" s="5">
        <f>Table1_3[[#This Row],[Admission_Date]]</f>
        <v>44722</v>
      </c>
      <c r="P520" s="2">
        <v>17693.61</v>
      </c>
      <c r="Q520" s="2">
        <f t="shared" si="8"/>
        <v>83</v>
      </c>
      <c r="R520" s="2" t="s">
        <v>2525</v>
      </c>
      <c r="S520" s="2">
        <v>16.974653755642141</v>
      </c>
      <c r="T520" s="2" t="s">
        <v>2524</v>
      </c>
      <c r="U520" t="str">
        <f>INDEX(Table2[Doctor_Name],MATCH(Table1_3[[#This Row],[Department]],Table2[Department],0))</f>
        <v>Dr. Anita Sanchez</v>
      </c>
    </row>
    <row r="521" spans="1:21" x14ac:dyDescent="0.35">
      <c r="A521" s="2" t="s">
        <v>446</v>
      </c>
      <c r="B521" s="2" t="s">
        <v>447</v>
      </c>
      <c r="C521" s="2">
        <v>78</v>
      </c>
      <c r="D521" s="2" t="s">
        <v>29</v>
      </c>
      <c r="E521" s="2" t="s">
        <v>45</v>
      </c>
      <c r="F521" s="2" t="s">
        <v>2517</v>
      </c>
      <c r="G521" s="2" t="s">
        <v>191</v>
      </c>
      <c r="H521" s="2">
        <v>185.3</v>
      </c>
      <c r="I521" s="2" t="s">
        <v>2519</v>
      </c>
      <c r="J521" s="2" t="s">
        <v>19</v>
      </c>
      <c r="K521" s="2" t="s">
        <v>19</v>
      </c>
      <c r="L521" s="2" t="s">
        <v>175</v>
      </c>
      <c r="M521" s="3">
        <v>44653</v>
      </c>
      <c r="N521" s="4">
        <f>Table1_3[[#This Row],[Admission_Date]]</f>
        <v>44653</v>
      </c>
      <c r="O521" s="5">
        <f>Table1_3[[#This Row],[Admission_Date]]</f>
        <v>44653</v>
      </c>
      <c r="P521" s="2">
        <v>24674.11</v>
      </c>
      <c r="Q521" s="2">
        <f t="shared" si="8"/>
        <v>38</v>
      </c>
      <c r="R521" s="2" t="s">
        <v>2525</v>
      </c>
      <c r="S521" s="2" t="s">
        <v>36</v>
      </c>
      <c r="T521" s="2" t="s">
        <v>36</v>
      </c>
      <c r="U521" t="str">
        <f>INDEX(Table2[Doctor_Name],MATCH(Table1_3[[#This Row],[Department]],Table2[Department],0))</f>
        <v>Dr. Arvind Wilson</v>
      </c>
    </row>
    <row r="522" spans="1:21" x14ac:dyDescent="0.35">
      <c r="A522" s="2" t="s">
        <v>132</v>
      </c>
      <c r="B522" s="2" t="s">
        <v>133</v>
      </c>
      <c r="C522" s="2">
        <v>59</v>
      </c>
      <c r="D522" s="2" t="s">
        <v>29</v>
      </c>
      <c r="E522" s="2" t="s">
        <v>45</v>
      </c>
      <c r="F522" s="2" t="s">
        <v>134</v>
      </c>
      <c r="G522" s="2" t="s">
        <v>60</v>
      </c>
      <c r="H522" s="2">
        <v>192.2</v>
      </c>
      <c r="I522" s="2">
        <v>129</v>
      </c>
      <c r="J522" s="2" t="s">
        <v>65</v>
      </c>
      <c r="K522" s="2" t="s">
        <v>65</v>
      </c>
      <c r="L522" s="2" t="s">
        <v>55</v>
      </c>
      <c r="M522" s="3">
        <v>44652</v>
      </c>
      <c r="N522" s="4">
        <f>Table1_3[[#This Row],[Admission_Date]]</f>
        <v>44652</v>
      </c>
      <c r="O522" s="5">
        <f>Table1_3[[#This Row],[Admission_Date]]</f>
        <v>44652</v>
      </c>
      <c r="P522" s="2">
        <v>4180.34</v>
      </c>
      <c r="Q522" s="2">
        <f t="shared" si="8"/>
        <v>42</v>
      </c>
      <c r="R522" s="2" t="s">
        <v>2523</v>
      </c>
      <c r="S522" s="2">
        <v>34.920700233129516</v>
      </c>
      <c r="T522" s="2" t="s">
        <v>2522</v>
      </c>
      <c r="U522" t="str">
        <f>INDEX(Table2[Doctor_Name],MATCH(Table1_3[[#This Row],[Department]],Table2[Department],0))</f>
        <v>Dr. Sunita Sanchez</v>
      </c>
    </row>
    <row r="523" spans="1:21" x14ac:dyDescent="0.35">
      <c r="A523" s="2" t="s">
        <v>682</v>
      </c>
      <c r="B523" s="2" t="s">
        <v>683</v>
      </c>
      <c r="C523" s="2">
        <v>89</v>
      </c>
      <c r="D523" s="2" t="s">
        <v>138</v>
      </c>
      <c r="E523" s="2" t="s">
        <v>146</v>
      </c>
      <c r="F523" s="2" t="s">
        <v>36</v>
      </c>
      <c r="G523" s="2" t="s">
        <v>198</v>
      </c>
      <c r="H523" s="2">
        <v>177.8</v>
      </c>
      <c r="I523" s="2">
        <v>90</v>
      </c>
      <c r="J523" s="2" t="s">
        <v>36</v>
      </c>
      <c r="K523" s="2" t="s">
        <v>36</v>
      </c>
      <c r="L523" s="2" t="s">
        <v>69</v>
      </c>
      <c r="M523" s="3">
        <v>44700</v>
      </c>
      <c r="N523" s="4">
        <f>Table1_3[[#This Row],[Admission_Date]]</f>
        <v>44700</v>
      </c>
      <c r="O523" s="5">
        <f>Table1_3[[#This Row],[Admission_Date]]</f>
        <v>44700</v>
      </c>
      <c r="P523" s="2">
        <v>29524</v>
      </c>
      <c r="Q523" s="2">
        <f t="shared" si="8"/>
        <v>107</v>
      </c>
      <c r="R523" s="2" t="s">
        <v>2525</v>
      </c>
      <c r="S523" s="2">
        <v>28.469444693991427</v>
      </c>
      <c r="T523" s="2" t="s">
        <v>2526</v>
      </c>
      <c r="U523" t="str">
        <f>INDEX(Table2[Doctor_Name],MATCH(Table1_3[[#This Row],[Department]],Table2[Department],0))</f>
        <v>Dr. Vikram Wang</v>
      </c>
    </row>
    <row r="524" spans="1:21" x14ac:dyDescent="0.35">
      <c r="A524" s="2" t="s">
        <v>1200</v>
      </c>
      <c r="B524" s="2" t="s">
        <v>1201</v>
      </c>
      <c r="C524" s="2">
        <v>64</v>
      </c>
      <c r="D524" s="2" t="s">
        <v>29</v>
      </c>
      <c r="E524" s="2" t="s">
        <v>89</v>
      </c>
      <c r="F524" s="2" t="s">
        <v>2518</v>
      </c>
      <c r="G524" s="2" t="s">
        <v>54</v>
      </c>
      <c r="H524" s="2">
        <v>151</v>
      </c>
      <c r="I524" s="2" t="s">
        <v>2519</v>
      </c>
      <c r="J524" s="2" t="s">
        <v>65</v>
      </c>
      <c r="K524" s="2" t="s">
        <v>65</v>
      </c>
      <c r="L524" s="2" t="s">
        <v>175</v>
      </c>
      <c r="M524" s="3">
        <v>44624</v>
      </c>
      <c r="N524" s="4">
        <f>Table1_3[[#This Row],[Admission_Date]]</f>
        <v>44624</v>
      </c>
      <c r="O524" s="5">
        <f>Table1_3[[#This Row],[Admission_Date]]</f>
        <v>44624</v>
      </c>
      <c r="P524" s="2">
        <v>9316.69</v>
      </c>
      <c r="Q524" s="2">
        <f t="shared" si="8"/>
        <v>38</v>
      </c>
      <c r="R524" s="2" t="s">
        <v>2525</v>
      </c>
      <c r="S524" s="2" t="s">
        <v>36</v>
      </c>
      <c r="T524" s="2" t="s">
        <v>36</v>
      </c>
      <c r="U524" t="str">
        <f>INDEX(Table2[Doctor_Name],MATCH(Table1_3[[#This Row],[Department]],Table2[Department],0))</f>
        <v>Dr. Arvind Wilson</v>
      </c>
    </row>
    <row r="525" spans="1:21" x14ac:dyDescent="0.35">
      <c r="A525" s="2" t="s">
        <v>703</v>
      </c>
      <c r="B525" s="2" t="s">
        <v>704</v>
      </c>
      <c r="C525" s="2">
        <v>85</v>
      </c>
      <c r="D525" s="2" t="s">
        <v>29</v>
      </c>
      <c r="E525" s="2" t="s">
        <v>59</v>
      </c>
      <c r="F525" s="2" t="s">
        <v>2517</v>
      </c>
      <c r="G525" s="2" t="s">
        <v>280</v>
      </c>
      <c r="H525" s="2">
        <v>175.7</v>
      </c>
      <c r="I525" s="2">
        <v>88.9</v>
      </c>
      <c r="J525" s="2" t="s">
        <v>65</v>
      </c>
      <c r="K525" s="2" t="s">
        <v>65</v>
      </c>
      <c r="L525" s="2" t="s">
        <v>69</v>
      </c>
      <c r="M525" s="3">
        <v>44903</v>
      </c>
      <c r="N525" s="4">
        <f>Table1_3[[#This Row],[Admission_Date]]</f>
        <v>44903</v>
      </c>
      <c r="O525" s="5">
        <f>Table1_3[[#This Row],[Admission_Date]]</f>
        <v>44903</v>
      </c>
      <c r="P525" s="2">
        <v>48483.43</v>
      </c>
      <c r="Q525" s="2">
        <f t="shared" si="8"/>
        <v>1</v>
      </c>
      <c r="R525" s="2" t="s">
        <v>2525</v>
      </c>
      <c r="S525" s="2">
        <v>28.797728834236199</v>
      </c>
      <c r="T525" s="2" t="s">
        <v>2526</v>
      </c>
      <c r="U525" t="str">
        <f>INDEX(Table2[Doctor_Name],MATCH(Table1_3[[#This Row],[Department]],Table2[Department],0))</f>
        <v>Dr. Vikram Wang</v>
      </c>
    </row>
    <row r="526" spans="1:21" x14ac:dyDescent="0.35">
      <c r="A526" s="2" t="s">
        <v>1206</v>
      </c>
      <c r="B526" s="2" t="s">
        <v>1207</v>
      </c>
      <c r="C526" s="2">
        <v>51</v>
      </c>
      <c r="D526" s="2" t="s">
        <v>138</v>
      </c>
      <c r="E526" s="2" t="s">
        <v>89</v>
      </c>
      <c r="F526" s="2" t="s">
        <v>36</v>
      </c>
      <c r="G526" s="2" t="s">
        <v>36</v>
      </c>
      <c r="H526" s="2">
        <v>172</v>
      </c>
      <c r="I526" s="2">
        <v>42.6</v>
      </c>
      <c r="J526" s="2" t="s">
        <v>19</v>
      </c>
      <c r="K526" s="2" t="s">
        <v>65</v>
      </c>
      <c r="L526" s="2" t="s">
        <v>86</v>
      </c>
      <c r="M526" s="3">
        <v>45034</v>
      </c>
      <c r="N526" s="4">
        <f>Table1_3[[#This Row],[Admission_Date]]</f>
        <v>45034</v>
      </c>
      <c r="O526" s="5">
        <f>Table1_3[[#This Row],[Admission_Date]]</f>
        <v>45034</v>
      </c>
      <c r="P526" s="2">
        <v>28331.74</v>
      </c>
      <c r="Q526" s="2">
        <f t="shared" si="8"/>
        <v>35</v>
      </c>
      <c r="R526" s="2" t="s">
        <v>2523</v>
      </c>
      <c r="S526" s="2">
        <v>14.399675500270419</v>
      </c>
      <c r="T526" s="2" t="s">
        <v>2524</v>
      </c>
      <c r="U526" t="str">
        <f>INDEX(Table2[Doctor_Name],MATCH(Table1_3[[#This Row],[Department]],Table2[Department],0))</f>
        <v>Dr. Meera Torres</v>
      </c>
    </row>
    <row r="527" spans="1:21" x14ac:dyDescent="0.35">
      <c r="A527" s="2" t="s">
        <v>795</v>
      </c>
      <c r="B527" s="2" t="s">
        <v>796</v>
      </c>
      <c r="C527" s="2">
        <v>35</v>
      </c>
      <c r="D527" s="2" t="s">
        <v>138</v>
      </c>
      <c r="E527" s="2" t="s">
        <v>111</v>
      </c>
      <c r="F527" s="2" t="s">
        <v>2517</v>
      </c>
      <c r="G527" s="2" t="s">
        <v>102</v>
      </c>
      <c r="H527" s="2">
        <v>169</v>
      </c>
      <c r="I527" s="2">
        <v>92</v>
      </c>
      <c r="J527" s="2" t="s">
        <v>19</v>
      </c>
      <c r="K527" s="2" t="s">
        <v>65</v>
      </c>
      <c r="L527" s="2" t="s">
        <v>42</v>
      </c>
      <c r="M527" s="3">
        <v>44422</v>
      </c>
      <c r="N527" s="4">
        <f>Table1_3[[#This Row],[Admission_Date]]</f>
        <v>44422</v>
      </c>
      <c r="O527" s="5">
        <f>Table1_3[[#This Row],[Admission_Date]]</f>
        <v>44422</v>
      </c>
      <c r="P527" s="2">
        <v>30732.19</v>
      </c>
      <c r="Q527" s="2">
        <f t="shared" si="8"/>
        <v>45</v>
      </c>
      <c r="R527" s="2" t="s">
        <v>2523</v>
      </c>
      <c r="S527" s="2">
        <v>32.211757291411367</v>
      </c>
      <c r="T527" s="2" t="s">
        <v>2522</v>
      </c>
      <c r="U527" t="str">
        <f>INDEX(Table2[Doctor_Name],MATCH(Table1_3[[#This Row],[Department]],Table2[Department],0))</f>
        <v>Dr. Rahul Nair</v>
      </c>
    </row>
    <row r="528" spans="1:21" x14ac:dyDescent="0.35">
      <c r="A528" s="2" t="s">
        <v>1173</v>
      </c>
      <c r="B528" s="2" t="s">
        <v>2487</v>
      </c>
      <c r="C528" s="2">
        <v>46</v>
      </c>
      <c r="D528" s="2" t="s">
        <v>29</v>
      </c>
      <c r="E528" s="2" t="s">
        <v>130</v>
      </c>
      <c r="F528" s="2" t="s">
        <v>79</v>
      </c>
      <c r="G528" s="2" t="s">
        <v>54</v>
      </c>
      <c r="H528" s="2">
        <v>168</v>
      </c>
      <c r="I528" s="2">
        <v>88</v>
      </c>
      <c r="J528" s="2" t="s">
        <v>19</v>
      </c>
      <c r="K528" s="2" t="s">
        <v>19</v>
      </c>
      <c r="L528" s="2" t="s">
        <v>199</v>
      </c>
      <c r="M528" s="3">
        <v>44666</v>
      </c>
      <c r="N528" s="4">
        <f>Table1_3[[#This Row],[Admission_Date]]</f>
        <v>44666</v>
      </c>
      <c r="O528" s="5">
        <f>Table1_3[[#This Row],[Admission_Date]]</f>
        <v>44666</v>
      </c>
      <c r="P528" s="2">
        <v>40163.629999999997</v>
      </c>
      <c r="Q528" s="2">
        <f t="shared" si="8"/>
        <v>34</v>
      </c>
      <c r="R528" s="2" t="s">
        <v>2523</v>
      </c>
      <c r="S528" s="2">
        <v>31.17913832199547</v>
      </c>
      <c r="T528" s="2" t="s">
        <v>2522</v>
      </c>
      <c r="U528" t="str">
        <f>INDEX(Table2[Doctor_Name],MATCH(Table1_3[[#This Row],[Department]],Table2[Department],0))</f>
        <v>Dr. Vikram Torres</v>
      </c>
    </row>
    <row r="529" spans="1:21" x14ac:dyDescent="0.35">
      <c r="A529" s="2" t="s">
        <v>729</v>
      </c>
      <c r="B529" s="2" t="s">
        <v>730</v>
      </c>
      <c r="C529" s="2" t="s">
        <v>2519</v>
      </c>
      <c r="D529" s="2" t="s">
        <v>29</v>
      </c>
      <c r="E529" s="2" t="s">
        <v>78</v>
      </c>
      <c r="F529" s="2" t="s">
        <v>134</v>
      </c>
      <c r="G529" s="2" t="s">
        <v>160</v>
      </c>
      <c r="H529" s="2">
        <v>155</v>
      </c>
      <c r="I529" s="2">
        <v>42</v>
      </c>
      <c r="J529" s="2" t="s">
        <v>19</v>
      </c>
      <c r="K529" s="2" t="s">
        <v>19</v>
      </c>
      <c r="L529" s="2" t="s">
        <v>55</v>
      </c>
      <c r="M529" s="3">
        <v>44509</v>
      </c>
      <c r="N529" s="4">
        <f>Table1_3[[#This Row],[Admission_Date]]</f>
        <v>44509</v>
      </c>
      <c r="O529" s="5">
        <f>Table1_3[[#This Row],[Admission_Date]]</f>
        <v>44509</v>
      </c>
      <c r="P529" s="2">
        <v>32936.160000000003</v>
      </c>
      <c r="Q529" s="2">
        <f t="shared" si="8"/>
        <v>42</v>
      </c>
      <c r="R529" s="2" t="s">
        <v>36</v>
      </c>
      <c r="S529" s="2">
        <v>17.481789802289281</v>
      </c>
      <c r="T529" s="2" t="s">
        <v>2524</v>
      </c>
      <c r="U529" t="str">
        <f>INDEX(Table2[Doctor_Name],MATCH(Table1_3[[#This Row],[Department]],Table2[Department],0))</f>
        <v>Dr. Sunita Sanchez</v>
      </c>
    </row>
    <row r="530" spans="1:21" x14ac:dyDescent="0.35">
      <c r="A530" s="2" t="s">
        <v>851</v>
      </c>
      <c r="B530" s="2" t="s">
        <v>2462</v>
      </c>
      <c r="C530" s="2">
        <v>94</v>
      </c>
      <c r="D530" s="2" t="s">
        <v>29</v>
      </c>
      <c r="E530" s="2" t="s">
        <v>24</v>
      </c>
      <c r="F530" s="2" t="s">
        <v>273</v>
      </c>
      <c r="G530" s="2" t="s">
        <v>295</v>
      </c>
      <c r="H530" s="2">
        <v>157</v>
      </c>
      <c r="I530" s="2">
        <v>92.9</v>
      </c>
      <c r="J530" s="2" t="s">
        <v>65</v>
      </c>
      <c r="K530" s="2" t="s">
        <v>65</v>
      </c>
      <c r="L530" s="2" t="s">
        <v>199</v>
      </c>
      <c r="M530" s="3">
        <v>44602</v>
      </c>
      <c r="N530" s="4">
        <f>Table1_3[[#This Row],[Admission_Date]]</f>
        <v>44602</v>
      </c>
      <c r="O530" s="5">
        <f>Table1_3[[#This Row],[Admission_Date]]</f>
        <v>44602</v>
      </c>
      <c r="P530" s="2">
        <v>21545.06</v>
      </c>
      <c r="Q530" s="2">
        <f t="shared" si="8"/>
        <v>34</v>
      </c>
      <c r="R530" s="2" t="s">
        <v>2525</v>
      </c>
      <c r="S530" s="2">
        <v>37.689155746683433</v>
      </c>
      <c r="T530" s="2" t="s">
        <v>2522</v>
      </c>
      <c r="U530" t="str">
        <f>INDEX(Table2[Doctor_Name],MATCH(Table1_3[[#This Row],[Department]],Table2[Department],0))</f>
        <v>Dr. Vikram Torres</v>
      </c>
    </row>
    <row r="531" spans="1:21" x14ac:dyDescent="0.35">
      <c r="A531" s="2" t="s">
        <v>1480</v>
      </c>
      <c r="B531" s="2" t="s">
        <v>1481</v>
      </c>
      <c r="C531" s="2">
        <v>49</v>
      </c>
      <c r="D531" s="2" t="s">
        <v>29</v>
      </c>
      <c r="E531" s="2" t="s">
        <v>217</v>
      </c>
      <c r="F531" s="2" t="s">
        <v>79</v>
      </c>
      <c r="G531" s="2" t="s">
        <v>112</v>
      </c>
      <c r="H531" s="2">
        <v>173</v>
      </c>
      <c r="I531" s="2">
        <v>103</v>
      </c>
      <c r="J531" s="2" t="s">
        <v>65</v>
      </c>
      <c r="K531" s="2" t="s">
        <v>19</v>
      </c>
      <c r="L531" s="2" t="s">
        <v>31</v>
      </c>
      <c r="M531" s="3">
        <v>45003</v>
      </c>
      <c r="N531" s="4">
        <f>Table1_3[[#This Row],[Admission_Date]]</f>
        <v>45003</v>
      </c>
      <c r="O531" s="5">
        <f>Table1_3[[#This Row],[Admission_Date]]</f>
        <v>45003</v>
      </c>
      <c r="P531" s="2">
        <v>38253.67</v>
      </c>
      <c r="Q531" s="2">
        <f t="shared" si="8"/>
        <v>37</v>
      </c>
      <c r="R531" s="2" t="s">
        <v>2523</v>
      </c>
      <c r="S531" s="2">
        <v>34.414781649904775</v>
      </c>
      <c r="T531" s="2" t="s">
        <v>2522</v>
      </c>
      <c r="U531" t="str">
        <f>INDEX(Table2[Doctor_Name],MATCH(Table1_3[[#This Row],[Department]],Table2[Department],0))</f>
        <v>Dr. Arvind Chen</v>
      </c>
    </row>
    <row r="532" spans="1:21" x14ac:dyDescent="0.35">
      <c r="A532" s="2" t="s">
        <v>969</v>
      </c>
      <c r="B532" s="2" t="s">
        <v>970</v>
      </c>
      <c r="C532" s="2">
        <v>62</v>
      </c>
      <c r="D532" s="2" t="s">
        <v>52</v>
      </c>
      <c r="E532" s="2" t="s">
        <v>45</v>
      </c>
      <c r="F532" s="2" t="s">
        <v>79</v>
      </c>
      <c r="G532" s="2" t="s">
        <v>102</v>
      </c>
      <c r="H532" s="2">
        <v>194</v>
      </c>
      <c r="I532" s="2">
        <v>55.2</v>
      </c>
      <c r="J532" s="2" t="s">
        <v>36</v>
      </c>
      <c r="K532" s="2" t="s">
        <v>65</v>
      </c>
      <c r="L532" s="2" t="s">
        <v>69</v>
      </c>
      <c r="M532" s="3">
        <v>44486</v>
      </c>
      <c r="N532" s="4">
        <f>Table1_3[[#This Row],[Admission_Date]]</f>
        <v>44486</v>
      </c>
      <c r="O532" s="5">
        <f>Table1_3[[#This Row],[Admission_Date]]</f>
        <v>44486</v>
      </c>
      <c r="P532" s="2">
        <v>31016.18</v>
      </c>
      <c r="Q532" s="2">
        <f t="shared" si="8"/>
        <v>107</v>
      </c>
      <c r="R532" s="2" t="s">
        <v>2525</v>
      </c>
      <c r="S532" s="2">
        <v>14.666808374960146</v>
      </c>
      <c r="T532" s="2" t="s">
        <v>2524</v>
      </c>
      <c r="U532" t="str">
        <f>INDEX(Table2[Doctor_Name],MATCH(Table1_3[[#This Row],[Department]],Table2[Department],0))</f>
        <v>Dr. Vikram Wang</v>
      </c>
    </row>
    <row r="533" spans="1:21" x14ac:dyDescent="0.35">
      <c r="A533" s="2" t="s">
        <v>825</v>
      </c>
      <c r="B533" s="2" t="s">
        <v>826</v>
      </c>
      <c r="C533" s="2">
        <v>40</v>
      </c>
      <c r="D533" s="2" t="s">
        <v>138</v>
      </c>
      <c r="E533" s="2" t="s">
        <v>24</v>
      </c>
      <c r="F533" s="2" t="s">
        <v>17</v>
      </c>
      <c r="G533" s="2" t="s">
        <v>208</v>
      </c>
      <c r="H533" s="2">
        <v>182</v>
      </c>
      <c r="I533" s="2">
        <v>64</v>
      </c>
      <c r="J533" s="2" t="s">
        <v>19</v>
      </c>
      <c r="K533" s="2" t="s">
        <v>65</v>
      </c>
      <c r="L533" s="2" t="s">
        <v>175</v>
      </c>
      <c r="M533" s="3">
        <v>45220</v>
      </c>
      <c r="N533" s="4">
        <f>Table1_3[[#This Row],[Admission_Date]]</f>
        <v>45220</v>
      </c>
      <c r="O533" s="5">
        <f>Table1_3[[#This Row],[Admission_Date]]</f>
        <v>45220</v>
      </c>
      <c r="P533" s="2">
        <v>47994.03</v>
      </c>
      <c r="Q533" s="2">
        <f t="shared" si="8"/>
        <v>1</v>
      </c>
      <c r="R533" s="2" t="s">
        <v>2523</v>
      </c>
      <c r="S533" s="2">
        <v>19.321338002656681</v>
      </c>
      <c r="T533" s="2" t="s">
        <v>1567</v>
      </c>
      <c r="U533" t="str">
        <f>INDEX(Table2[Doctor_Name],MATCH(Table1_3[[#This Row],[Department]],Table2[Department],0))</f>
        <v>Dr. Arvind Wilson</v>
      </c>
    </row>
    <row r="534" spans="1:21" x14ac:dyDescent="0.35">
      <c r="A534" s="2" t="s">
        <v>1273</v>
      </c>
      <c r="B534" s="2" t="s">
        <v>1274</v>
      </c>
      <c r="C534" s="2">
        <v>10</v>
      </c>
      <c r="D534" s="2" t="s">
        <v>29</v>
      </c>
      <c r="E534" s="2" t="s">
        <v>89</v>
      </c>
      <c r="F534" s="2" t="s">
        <v>273</v>
      </c>
      <c r="G534" s="2" t="s">
        <v>90</v>
      </c>
      <c r="H534" s="2">
        <v>172</v>
      </c>
      <c r="I534" s="2">
        <v>127</v>
      </c>
      <c r="J534" s="2" t="s">
        <v>65</v>
      </c>
      <c r="K534" s="2" t="s">
        <v>65</v>
      </c>
      <c r="L534" s="2" t="s">
        <v>69</v>
      </c>
      <c r="M534" s="3">
        <v>45242</v>
      </c>
      <c r="N534" s="4">
        <f>Table1_3[[#This Row],[Admission_Date]]</f>
        <v>45242</v>
      </c>
      <c r="O534" s="5">
        <f>Table1_3[[#This Row],[Admission_Date]]</f>
        <v>45242</v>
      </c>
      <c r="P534" s="2">
        <v>7423.34</v>
      </c>
      <c r="Q534" s="2">
        <f t="shared" si="8"/>
        <v>107</v>
      </c>
      <c r="R534" s="2" t="s">
        <v>2521</v>
      </c>
      <c r="S534" s="2">
        <v>42.928610059491625</v>
      </c>
      <c r="T534" s="2" t="s">
        <v>2522</v>
      </c>
      <c r="U534" t="str">
        <f>INDEX(Table2[Doctor_Name],MATCH(Table1_3[[#This Row],[Department]],Table2[Department],0))</f>
        <v>Dr. Vikram Wang</v>
      </c>
    </row>
    <row r="535" spans="1:21" x14ac:dyDescent="0.35">
      <c r="A535" s="2" t="s">
        <v>1217</v>
      </c>
      <c r="B535" s="2" t="s">
        <v>1218</v>
      </c>
      <c r="C535" s="2">
        <v>2</v>
      </c>
      <c r="D535" s="2" t="s">
        <v>138</v>
      </c>
      <c r="E535" s="2" t="s">
        <v>217</v>
      </c>
      <c r="F535" s="2" t="s">
        <v>120</v>
      </c>
      <c r="G535" s="2" t="s">
        <v>208</v>
      </c>
      <c r="H535" s="2">
        <v>169</v>
      </c>
      <c r="I535" s="2">
        <v>57</v>
      </c>
      <c r="J535" s="2" t="s">
        <v>19</v>
      </c>
      <c r="K535" s="2" t="s">
        <v>65</v>
      </c>
      <c r="L535" s="2" t="s">
        <v>107</v>
      </c>
      <c r="M535" s="3">
        <v>44390</v>
      </c>
      <c r="N535" s="4">
        <f>Table1_3[[#This Row],[Admission_Date]]</f>
        <v>44390</v>
      </c>
      <c r="O535" s="5">
        <f>Table1_3[[#This Row],[Admission_Date]]</f>
        <v>44390</v>
      </c>
      <c r="P535" s="2">
        <v>31436.15</v>
      </c>
      <c r="Q535" s="2">
        <f t="shared" si="8"/>
        <v>83</v>
      </c>
      <c r="R535" s="2" t="s">
        <v>2521</v>
      </c>
      <c r="S535" s="2">
        <v>19.957284408809219</v>
      </c>
      <c r="T535" s="2" t="s">
        <v>1567</v>
      </c>
      <c r="U535" t="str">
        <f>INDEX(Table2[Doctor_Name],MATCH(Table1_3[[#This Row],[Department]],Table2[Department],0))</f>
        <v>Dr. Anita Sanchez</v>
      </c>
    </row>
    <row r="536" spans="1:21" x14ac:dyDescent="0.35">
      <c r="A536" s="2" t="s">
        <v>951</v>
      </c>
      <c r="B536" s="2" t="s">
        <v>952</v>
      </c>
      <c r="C536" s="2">
        <v>36</v>
      </c>
      <c r="D536" s="2" t="s">
        <v>29</v>
      </c>
      <c r="E536" s="2" t="s">
        <v>217</v>
      </c>
      <c r="F536" s="2" t="s">
        <v>79</v>
      </c>
      <c r="G536" s="2" t="s">
        <v>102</v>
      </c>
      <c r="H536" s="2">
        <v>147</v>
      </c>
      <c r="I536" s="2">
        <v>98</v>
      </c>
      <c r="J536" s="2" t="s">
        <v>65</v>
      </c>
      <c r="K536" s="2" t="s">
        <v>65</v>
      </c>
      <c r="L536" s="2" t="s">
        <v>69</v>
      </c>
      <c r="M536" s="3">
        <v>44407</v>
      </c>
      <c r="N536" s="4">
        <f>Table1_3[[#This Row],[Admission_Date]]</f>
        <v>44407</v>
      </c>
      <c r="O536" s="5">
        <f>Table1_3[[#This Row],[Admission_Date]]</f>
        <v>44407</v>
      </c>
      <c r="P536" s="2">
        <v>11213.85</v>
      </c>
      <c r="Q536" s="2">
        <f t="shared" si="8"/>
        <v>107</v>
      </c>
      <c r="R536" s="2" t="s">
        <v>2523</v>
      </c>
      <c r="S536" s="2">
        <v>45.3514739229025</v>
      </c>
      <c r="T536" s="2" t="s">
        <v>2522</v>
      </c>
      <c r="U536" t="str">
        <f>INDEX(Table2[Doctor_Name],MATCH(Table1_3[[#This Row],[Department]],Table2[Department],0))</f>
        <v>Dr. Vikram Wang</v>
      </c>
    </row>
    <row r="537" spans="1:21" x14ac:dyDescent="0.35">
      <c r="A537" s="2" t="s">
        <v>427</v>
      </c>
      <c r="B537" s="2" t="s">
        <v>428</v>
      </c>
      <c r="C537" s="2">
        <v>74</v>
      </c>
      <c r="D537" s="2" t="s">
        <v>29</v>
      </c>
      <c r="E537" s="2" t="s">
        <v>115</v>
      </c>
      <c r="F537" s="2" t="s">
        <v>273</v>
      </c>
      <c r="G537" s="2" t="s">
        <v>36</v>
      </c>
      <c r="H537" s="2">
        <v>150</v>
      </c>
      <c r="I537" s="2">
        <v>40</v>
      </c>
      <c r="J537" s="2" t="s">
        <v>65</v>
      </c>
      <c r="K537" s="2" t="s">
        <v>65</v>
      </c>
      <c r="L537" s="2" t="s">
        <v>86</v>
      </c>
      <c r="M537" s="3">
        <v>44497</v>
      </c>
      <c r="N537" s="4">
        <f>Table1_3[[#This Row],[Admission_Date]]</f>
        <v>44497</v>
      </c>
      <c r="O537" s="5">
        <f>Table1_3[[#This Row],[Admission_Date]]</f>
        <v>44497</v>
      </c>
      <c r="P537" s="2">
        <v>8658.51</v>
      </c>
      <c r="Q537" s="2">
        <f t="shared" si="8"/>
        <v>35</v>
      </c>
      <c r="R537" s="2" t="s">
        <v>2525</v>
      </c>
      <c r="S537" s="2">
        <v>17.777777777777779</v>
      </c>
      <c r="T537" s="2" t="s">
        <v>2524</v>
      </c>
      <c r="U537" t="str">
        <f>INDEX(Table2[Doctor_Name],MATCH(Table1_3[[#This Row],[Department]],Table2[Department],0))</f>
        <v>Dr. Meera Torres</v>
      </c>
    </row>
    <row r="538" spans="1:21" x14ac:dyDescent="0.35">
      <c r="A538" s="2" t="s">
        <v>934</v>
      </c>
      <c r="B538" s="2" t="s">
        <v>935</v>
      </c>
      <c r="C538" s="2">
        <v>86</v>
      </c>
      <c r="D538" s="2" t="s">
        <v>138</v>
      </c>
      <c r="E538" s="2" t="s">
        <v>24</v>
      </c>
      <c r="F538" s="2" t="s">
        <v>79</v>
      </c>
      <c r="G538" s="2" t="s">
        <v>160</v>
      </c>
      <c r="H538" s="2">
        <v>156</v>
      </c>
      <c r="I538" s="2">
        <v>74.7</v>
      </c>
      <c r="J538" s="2" t="s">
        <v>65</v>
      </c>
      <c r="K538" s="2" t="s">
        <v>19</v>
      </c>
      <c r="L538" s="2" t="s">
        <v>199</v>
      </c>
      <c r="M538" s="3">
        <v>45089</v>
      </c>
      <c r="N538" s="4">
        <f>Table1_3[[#This Row],[Admission_Date]]</f>
        <v>45089</v>
      </c>
      <c r="O538" s="5">
        <f>Table1_3[[#This Row],[Admission_Date]]</f>
        <v>45089</v>
      </c>
      <c r="P538" s="2">
        <v>26768.93</v>
      </c>
      <c r="Q538" s="2">
        <f t="shared" si="8"/>
        <v>34</v>
      </c>
      <c r="R538" s="2" t="s">
        <v>2525</v>
      </c>
      <c r="S538" s="2">
        <v>30.695266272189347</v>
      </c>
      <c r="T538" s="2" t="s">
        <v>2522</v>
      </c>
      <c r="U538" t="str">
        <f>INDEX(Table2[Doctor_Name],MATCH(Table1_3[[#This Row],[Department]],Table2[Department],0))</f>
        <v>Dr. Vikram Torres</v>
      </c>
    </row>
    <row r="539" spans="1:21" x14ac:dyDescent="0.35">
      <c r="A539" s="2" t="s">
        <v>942</v>
      </c>
      <c r="B539" s="2" t="s">
        <v>943</v>
      </c>
      <c r="C539" s="2">
        <v>72</v>
      </c>
      <c r="D539" s="2" t="s">
        <v>138</v>
      </c>
      <c r="E539" s="2" t="s">
        <v>16</v>
      </c>
      <c r="F539" s="2" t="s">
        <v>273</v>
      </c>
      <c r="G539" s="2" t="s">
        <v>191</v>
      </c>
      <c r="H539" s="2">
        <v>176</v>
      </c>
      <c r="I539" s="2">
        <v>118</v>
      </c>
      <c r="J539" s="2" t="s">
        <v>36</v>
      </c>
      <c r="K539" s="2" t="s">
        <v>65</v>
      </c>
      <c r="L539" s="2" t="s">
        <v>55</v>
      </c>
      <c r="M539" s="3">
        <v>45065</v>
      </c>
      <c r="N539" s="4">
        <f>Table1_3[[#This Row],[Admission_Date]]</f>
        <v>45065</v>
      </c>
      <c r="O539" s="5">
        <f>Table1_3[[#This Row],[Admission_Date]]</f>
        <v>45065</v>
      </c>
      <c r="P539" s="2">
        <v>31040.22</v>
      </c>
      <c r="Q539" s="2">
        <f t="shared" si="8"/>
        <v>42</v>
      </c>
      <c r="R539" s="2" t="s">
        <v>2525</v>
      </c>
      <c r="S539" s="2">
        <v>38.094008264462808</v>
      </c>
      <c r="T539" s="2" t="s">
        <v>2522</v>
      </c>
      <c r="U539" t="str">
        <f>INDEX(Table2[Doctor_Name],MATCH(Table1_3[[#This Row],[Department]],Table2[Department],0))</f>
        <v>Dr. Sunita Sanchez</v>
      </c>
    </row>
    <row r="540" spans="1:21" x14ac:dyDescent="0.35">
      <c r="A540" s="2" t="s">
        <v>977</v>
      </c>
      <c r="B540" s="2" t="s">
        <v>978</v>
      </c>
      <c r="C540" s="2">
        <v>26</v>
      </c>
      <c r="D540" s="2" t="s">
        <v>138</v>
      </c>
      <c r="E540" s="2" t="s">
        <v>146</v>
      </c>
      <c r="F540" s="2" t="s">
        <v>2518</v>
      </c>
      <c r="G540" s="2" t="s">
        <v>35</v>
      </c>
      <c r="H540" s="2">
        <v>168.7</v>
      </c>
      <c r="I540" s="2">
        <v>85</v>
      </c>
      <c r="J540" s="2" t="s">
        <v>36</v>
      </c>
      <c r="K540" s="2" t="s">
        <v>19</v>
      </c>
      <c r="L540" s="2" t="s">
        <v>69</v>
      </c>
      <c r="M540" s="3">
        <v>44760</v>
      </c>
      <c r="N540" s="4">
        <f>Table1_3[[#This Row],[Admission_Date]]</f>
        <v>44760</v>
      </c>
      <c r="O540" s="5">
        <f>Table1_3[[#This Row],[Admission_Date]]</f>
        <v>44760</v>
      </c>
      <c r="P540" s="2">
        <v>0</v>
      </c>
      <c r="Q540" s="2">
        <f t="shared" si="8"/>
        <v>107</v>
      </c>
      <c r="R540" s="2" t="s">
        <v>2523</v>
      </c>
      <c r="S540" s="2">
        <v>29.866804592741531</v>
      </c>
      <c r="T540" s="2" t="s">
        <v>2526</v>
      </c>
      <c r="U540" t="str">
        <f>INDEX(Table2[Doctor_Name],MATCH(Table1_3[[#This Row],[Department]],Table2[Department],0))</f>
        <v>Dr. Vikram Wang</v>
      </c>
    </row>
    <row r="541" spans="1:21" x14ac:dyDescent="0.35">
      <c r="A541" s="2" t="s">
        <v>876</v>
      </c>
      <c r="B541" s="2" t="s">
        <v>877</v>
      </c>
      <c r="C541" s="2">
        <v>92</v>
      </c>
      <c r="D541" s="2" t="s">
        <v>138</v>
      </c>
      <c r="E541" s="2" t="s">
        <v>119</v>
      </c>
      <c r="F541" s="2" t="s">
        <v>2517</v>
      </c>
      <c r="G541" s="2" t="s">
        <v>160</v>
      </c>
      <c r="H541" s="2">
        <v>147</v>
      </c>
      <c r="I541" s="2" t="s">
        <v>2519</v>
      </c>
      <c r="J541" s="2" t="s">
        <v>19</v>
      </c>
      <c r="K541" s="2" t="s">
        <v>65</v>
      </c>
      <c r="L541" s="2" t="s">
        <v>86</v>
      </c>
      <c r="M541" s="3">
        <v>44510</v>
      </c>
      <c r="N541" s="4">
        <f>Table1_3[[#This Row],[Admission_Date]]</f>
        <v>44510</v>
      </c>
      <c r="O541" s="5">
        <f>Table1_3[[#This Row],[Admission_Date]]</f>
        <v>44510</v>
      </c>
      <c r="P541" s="2">
        <v>36941.71</v>
      </c>
      <c r="Q541" s="2">
        <f t="shared" si="8"/>
        <v>35</v>
      </c>
      <c r="R541" s="2" t="s">
        <v>2525</v>
      </c>
      <c r="S541" s="2" t="s">
        <v>36</v>
      </c>
      <c r="T541" s="2" t="s">
        <v>36</v>
      </c>
      <c r="U541" t="str">
        <f>INDEX(Table2[Doctor_Name],MATCH(Table1_3[[#This Row],[Department]],Table2[Department],0))</f>
        <v>Dr. Meera Torres</v>
      </c>
    </row>
    <row r="542" spans="1:21" x14ac:dyDescent="0.35">
      <c r="M542" s="4"/>
    </row>
    <row r="543" spans="1:21" x14ac:dyDescent="0.35">
      <c r="M543" s="4"/>
    </row>
    <row r="544" spans="1:21" x14ac:dyDescent="0.35">
      <c r="M544" s="4"/>
    </row>
    <row r="545" spans="13:13" x14ac:dyDescent="0.35">
      <c r="M545" s="4"/>
    </row>
    <row r="546" spans="13:13" x14ac:dyDescent="0.35">
      <c r="M546" s="4"/>
    </row>
    <row r="547" spans="13:13" x14ac:dyDescent="0.35">
      <c r="M547" s="4"/>
    </row>
    <row r="548" spans="13:13" x14ac:dyDescent="0.35">
      <c r="M548" s="4"/>
    </row>
    <row r="549" spans="13:13" x14ac:dyDescent="0.35">
      <c r="M549" s="4"/>
    </row>
    <row r="550" spans="13:13" x14ac:dyDescent="0.35">
      <c r="M550" s="4"/>
    </row>
    <row r="551" spans="13:13" x14ac:dyDescent="0.35">
      <c r="M551" s="4"/>
    </row>
    <row r="552" spans="13:13" x14ac:dyDescent="0.35">
      <c r="M552" s="4"/>
    </row>
    <row r="553" spans="13:13" x14ac:dyDescent="0.35">
      <c r="M553" s="4"/>
    </row>
    <row r="554" spans="13:13" x14ac:dyDescent="0.35">
      <c r="M554" s="4"/>
    </row>
    <row r="555" spans="13:13" x14ac:dyDescent="0.35">
      <c r="M555" s="4"/>
    </row>
    <row r="556" spans="13:13" x14ac:dyDescent="0.35">
      <c r="M556" s="4"/>
    </row>
    <row r="557" spans="13:13" x14ac:dyDescent="0.35">
      <c r="M557" s="4"/>
    </row>
    <row r="558" spans="13:13" x14ac:dyDescent="0.35">
      <c r="M558" s="4"/>
    </row>
    <row r="559" spans="13:13" x14ac:dyDescent="0.35">
      <c r="M559" s="4"/>
    </row>
    <row r="560" spans="13:13" x14ac:dyDescent="0.35">
      <c r="M560" s="4"/>
    </row>
    <row r="561" spans="13:13" x14ac:dyDescent="0.35">
      <c r="M561" s="4"/>
    </row>
    <row r="562" spans="13:13" x14ac:dyDescent="0.35">
      <c r="M562" s="4"/>
    </row>
    <row r="563" spans="13:13" x14ac:dyDescent="0.35">
      <c r="M563" s="4"/>
    </row>
    <row r="564" spans="13:13" x14ac:dyDescent="0.35">
      <c r="M564" s="4"/>
    </row>
    <row r="565" spans="13:13" x14ac:dyDescent="0.35">
      <c r="M565" s="4"/>
    </row>
    <row r="566" spans="13:13" x14ac:dyDescent="0.35">
      <c r="M566" s="4"/>
    </row>
    <row r="567" spans="13:13" x14ac:dyDescent="0.35">
      <c r="M567" s="4"/>
    </row>
    <row r="568" spans="13:13" x14ac:dyDescent="0.35">
      <c r="M568" s="4"/>
    </row>
    <row r="569" spans="13:13" x14ac:dyDescent="0.35">
      <c r="M569" s="4"/>
    </row>
    <row r="570" spans="13:13" x14ac:dyDescent="0.35">
      <c r="M570" s="4"/>
    </row>
    <row r="571" spans="13:13" x14ac:dyDescent="0.35">
      <c r="M571" s="4"/>
    </row>
    <row r="572" spans="13:13" x14ac:dyDescent="0.35">
      <c r="M572" s="4"/>
    </row>
    <row r="573" spans="13:13" x14ac:dyDescent="0.35">
      <c r="M573" s="4"/>
    </row>
    <row r="574" spans="13:13" x14ac:dyDescent="0.35">
      <c r="M574" s="4"/>
    </row>
    <row r="575" spans="13:13" x14ac:dyDescent="0.35">
      <c r="M575" s="4"/>
    </row>
    <row r="576" spans="13:13" x14ac:dyDescent="0.35">
      <c r="M576" s="4"/>
    </row>
    <row r="577" spans="13:13" x14ac:dyDescent="0.35">
      <c r="M577" s="4"/>
    </row>
    <row r="578" spans="13:13" x14ac:dyDescent="0.35">
      <c r="M578" s="4"/>
    </row>
    <row r="579" spans="13:13" x14ac:dyDescent="0.35">
      <c r="M579" s="4"/>
    </row>
    <row r="580" spans="13:13" x14ac:dyDescent="0.35">
      <c r="M580" s="4"/>
    </row>
    <row r="581" spans="13:13" x14ac:dyDescent="0.35">
      <c r="M581" s="4"/>
    </row>
    <row r="582" spans="13:13" x14ac:dyDescent="0.35">
      <c r="M582" s="4"/>
    </row>
    <row r="583" spans="13:13" x14ac:dyDescent="0.35">
      <c r="M583" s="4"/>
    </row>
    <row r="584" spans="13:13" x14ac:dyDescent="0.35">
      <c r="M584" s="4"/>
    </row>
    <row r="585" spans="13:13" x14ac:dyDescent="0.35">
      <c r="M585" s="4"/>
    </row>
    <row r="586" spans="13:13" x14ac:dyDescent="0.35">
      <c r="M586" s="4"/>
    </row>
    <row r="587" spans="13:13" x14ac:dyDescent="0.35">
      <c r="M587" s="4"/>
    </row>
    <row r="588" spans="13:13" x14ac:dyDescent="0.35">
      <c r="M588" s="4"/>
    </row>
    <row r="589" spans="13:13" x14ac:dyDescent="0.35">
      <c r="M589" s="4"/>
    </row>
    <row r="590" spans="13:13" x14ac:dyDescent="0.35">
      <c r="M590" s="4"/>
    </row>
    <row r="591" spans="13:13" x14ac:dyDescent="0.35">
      <c r="M591" s="4"/>
    </row>
    <row r="592" spans="13:13" x14ac:dyDescent="0.35">
      <c r="M592" s="4"/>
    </row>
    <row r="593" spans="13:13" x14ac:dyDescent="0.35">
      <c r="M593" s="4"/>
    </row>
    <row r="594" spans="13:13" x14ac:dyDescent="0.35">
      <c r="M594" s="4"/>
    </row>
    <row r="595" spans="13:13" x14ac:dyDescent="0.35">
      <c r="M595" s="4"/>
    </row>
    <row r="596" spans="13:13" x14ac:dyDescent="0.35">
      <c r="M596" s="4"/>
    </row>
    <row r="597" spans="13:13" x14ac:dyDescent="0.35">
      <c r="M597" s="4"/>
    </row>
    <row r="598" spans="13:13" x14ac:dyDescent="0.35">
      <c r="M598" s="4"/>
    </row>
    <row r="599" spans="13:13" x14ac:dyDescent="0.35">
      <c r="M599" s="4"/>
    </row>
    <row r="600" spans="13:13" x14ac:dyDescent="0.35">
      <c r="M600" s="4"/>
    </row>
    <row r="601" spans="13:13" x14ac:dyDescent="0.35">
      <c r="M601" s="4"/>
    </row>
    <row r="602" spans="13:13" x14ac:dyDescent="0.35">
      <c r="M602" s="4"/>
    </row>
    <row r="603" spans="13:13" x14ac:dyDescent="0.35">
      <c r="M603" s="4"/>
    </row>
    <row r="604" spans="13:13" x14ac:dyDescent="0.35">
      <c r="M604" s="4"/>
    </row>
    <row r="605" spans="13:13" x14ac:dyDescent="0.35">
      <c r="M605" s="4"/>
    </row>
    <row r="606" spans="13:13" x14ac:dyDescent="0.35">
      <c r="M606" s="4"/>
    </row>
    <row r="607" spans="13:13" x14ac:dyDescent="0.35">
      <c r="M607" s="4"/>
    </row>
    <row r="608" spans="13:13" x14ac:dyDescent="0.35">
      <c r="M608" s="4"/>
    </row>
    <row r="609" spans="13:13" x14ac:dyDescent="0.35">
      <c r="M609" s="4"/>
    </row>
    <row r="610" spans="13:13" x14ac:dyDescent="0.35">
      <c r="M610" s="4"/>
    </row>
    <row r="611" spans="13:13" x14ac:dyDescent="0.35">
      <c r="M611" s="4"/>
    </row>
    <row r="612" spans="13:13" x14ac:dyDescent="0.35">
      <c r="M612" s="4"/>
    </row>
    <row r="613" spans="13:13" x14ac:dyDescent="0.35">
      <c r="M613" s="4"/>
    </row>
    <row r="614" spans="13:13" x14ac:dyDescent="0.35">
      <c r="M614" s="4"/>
    </row>
    <row r="615" spans="13:13" x14ac:dyDescent="0.35">
      <c r="M615" s="4"/>
    </row>
    <row r="616" spans="13:13" x14ac:dyDescent="0.35">
      <c r="M616" s="4"/>
    </row>
    <row r="617" spans="13:13" x14ac:dyDescent="0.35">
      <c r="M617" s="4"/>
    </row>
    <row r="618" spans="13:13" x14ac:dyDescent="0.35">
      <c r="M618" s="4"/>
    </row>
    <row r="619" spans="13:13" x14ac:dyDescent="0.35">
      <c r="M619" s="4"/>
    </row>
    <row r="620" spans="13:13" x14ac:dyDescent="0.35">
      <c r="M620" s="4"/>
    </row>
    <row r="621" spans="13:13" x14ac:dyDescent="0.35">
      <c r="M621" s="4"/>
    </row>
    <row r="622" spans="13:13" x14ac:dyDescent="0.35">
      <c r="M622" s="4"/>
    </row>
    <row r="623" spans="13:13" x14ac:dyDescent="0.35">
      <c r="M623" s="4"/>
    </row>
    <row r="624" spans="13:13" x14ac:dyDescent="0.35">
      <c r="M624" s="4"/>
    </row>
    <row r="625" spans="13:13" x14ac:dyDescent="0.35">
      <c r="M625" s="4"/>
    </row>
    <row r="626" spans="13:13" x14ac:dyDescent="0.35">
      <c r="M626" s="4"/>
    </row>
    <row r="627" spans="13:13" x14ac:dyDescent="0.35">
      <c r="M627" s="4"/>
    </row>
    <row r="628" spans="13:13" x14ac:dyDescent="0.35">
      <c r="M628" s="4"/>
    </row>
    <row r="629" spans="13:13" x14ac:dyDescent="0.35">
      <c r="M629" s="4"/>
    </row>
    <row r="630" spans="13:13" x14ac:dyDescent="0.35">
      <c r="M630" s="4"/>
    </row>
    <row r="631" spans="13:13" x14ac:dyDescent="0.35">
      <c r="M631" s="4"/>
    </row>
    <row r="632" spans="13:13" x14ac:dyDescent="0.35">
      <c r="M632" s="4"/>
    </row>
    <row r="633" spans="13:13" x14ac:dyDescent="0.35">
      <c r="M633" s="4"/>
    </row>
    <row r="634" spans="13:13" x14ac:dyDescent="0.35">
      <c r="M634" s="4"/>
    </row>
    <row r="635" spans="13:13" x14ac:dyDescent="0.35">
      <c r="M635" s="4"/>
    </row>
    <row r="636" spans="13:13" x14ac:dyDescent="0.35">
      <c r="M636" s="4"/>
    </row>
    <row r="637" spans="13:13" x14ac:dyDescent="0.35">
      <c r="M637" s="4"/>
    </row>
    <row r="638" spans="13:13" x14ac:dyDescent="0.35">
      <c r="M638" s="4"/>
    </row>
    <row r="639" spans="13:13" x14ac:dyDescent="0.35">
      <c r="M639" s="4"/>
    </row>
    <row r="640" spans="13:13" x14ac:dyDescent="0.35">
      <c r="M640" s="4"/>
    </row>
    <row r="641" spans="13:13" x14ac:dyDescent="0.35">
      <c r="M641" s="4"/>
    </row>
    <row r="642" spans="13:13" x14ac:dyDescent="0.35">
      <c r="M642" s="4"/>
    </row>
    <row r="643" spans="13:13" x14ac:dyDescent="0.35">
      <c r="M643" s="4"/>
    </row>
    <row r="644" spans="13:13" x14ac:dyDescent="0.35">
      <c r="M644" s="4"/>
    </row>
    <row r="645" spans="13:13" x14ac:dyDescent="0.35">
      <c r="M645" s="4"/>
    </row>
    <row r="646" spans="13:13" x14ac:dyDescent="0.35">
      <c r="M646" s="4"/>
    </row>
    <row r="647" spans="13:13" x14ac:dyDescent="0.35">
      <c r="M647" s="4"/>
    </row>
    <row r="648" spans="13:13" x14ac:dyDescent="0.35">
      <c r="M648" s="4"/>
    </row>
    <row r="649" spans="13:13" x14ac:dyDescent="0.35">
      <c r="M649" s="4"/>
    </row>
    <row r="650" spans="13:13" x14ac:dyDescent="0.35">
      <c r="M650" s="4"/>
    </row>
    <row r="651" spans="13:13" x14ac:dyDescent="0.35">
      <c r="M651" s="4"/>
    </row>
    <row r="652" spans="13:13" x14ac:dyDescent="0.35">
      <c r="M652" s="4"/>
    </row>
    <row r="653" spans="13:13" x14ac:dyDescent="0.35">
      <c r="M653" s="4"/>
    </row>
    <row r="654" spans="13:13" x14ac:dyDescent="0.35">
      <c r="M654" s="4"/>
    </row>
    <row r="655" spans="13:13" x14ac:dyDescent="0.35">
      <c r="M655" s="4"/>
    </row>
    <row r="656" spans="13:13" x14ac:dyDescent="0.35">
      <c r="M656" s="4"/>
    </row>
    <row r="657" spans="13:13" x14ac:dyDescent="0.35">
      <c r="M657" s="4"/>
    </row>
    <row r="658" spans="13:13" x14ac:dyDescent="0.35">
      <c r="M658" s="4"/>
    </row>
    <row r="659" spans="13:13" x14ac:dyDescent="0.35">
      <c r="M659" s="4"/>
    </row>
    <row r="660" spans="13:13" x14ac:dyDescent="0.35">
      <c r="M660" s="4"/>
    </row>
    <row r="661" spans="13:13" x14ac:dyDescent="0.35">
      <c r="M661" s="4"/>
    </row>
    <row r="662" spans="13:13" x14ac:dyDescent="0.35">
      <c r="M662" s="4"/>
    </row>
    <row r="663" spans="13:13" x14ac:dyDescent="0.35">
      <c r="M663" s="4"/>
    </row>
    <row r="664" spans="13:13" x14ac:dyDescent="0.35">
      <c r="M664" s="4"/>
    </row>
    <row r="665" spans="13:13" x14ac:dyDescent="0.35">
      <c r="M665" s="4"/>
    </row>
    <row r="666" spans="13:13" x14ac:dyDescent="0.35">
      <c r="M666" s="4"/>
    </row>
    <row r="667" spans="13:13" x14ac:dyDescent="0.35">
      <c r="M667" s="4"/>
    </row>
    <row r="668" spans="13:13" x14ac:dyDescent="0.35">
      <c r="M668" s="4"/>
    </row>
    <row r="669" spans="13:13" x14ac:dyDescent="0.35">
      <c r="M669" s="4"/>
    </row>
    <row r="670" spans="13:13" x14ac:dyDescent="0.35">
      <c r="M670" s="4"/>
    </row>
    <row r="671" spans="13:13" x14ac:dyDescent="0.35">
      <c r="M671" s="4"/>
    </row>
    <row r="672" spans="13:13" x14ac:dyDescent="0.35">
      <c r="M672" s="4"/>
    </row>
    <row r="673" spans="13:13" x14ac:dyDescent="0.35">
      <c r="M673" s="4"/>
    </row>
    <row r="674" spans="13:13" x14ac:dyDescent="0.35">
      <c r="M674" s="4"/>
    </row>
    <row r="675" spans="13:13" x14ac:dyDescent="0.35">
      <c r="M675" s="4"/>
    </row>
    <row r="676" spans="13:13" x14ac:dyDescent="0.35">
      <c r="M676" s="4"/>
    </row>
    <row r="677" spans="13:13" x14ac:dyDescent="0.35">
      <c r="M677" s="4"/>
    </row>
    <row r="678" spans="13:13" x14ac:dyDescent="0.35">
      <c r="M678" s="4"/>
    </row>
    <row r="679" spans="13:13" x14ac:dyDescent="0.35">
      <c r="M679" s="4"/>
    </row>
    <row r="680" spans="13:13" x14ac:dyDescent="0.35">
      <c r="M680" s="4"/>
    </row>
    <row r="681" spans="13:13" x14ac:dyDescent="0.35">
      <c r="M681" s="4"/>
    </row>
    <row r="682" spans="13:13" x14ac:dyDescent="0.35">
      <c r="M682" s="4"/>
    </row>
  </sheetData>
  <pageMargins left="0.7" right="0.7" top="0.75" bottom="0.75" header="0.3" footer="0.3"/>
  <pageSetup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opLeftCell="A20" workbookViewId="0">
      <selection activeCell="J38" sqref="J38"/>
    </sheetView>
  </sheetViews>
  <sheetFormatPr defaultRowHeight="14.5" x14ac:dyDescent="0.35"/>
  <cols>
    <col min="1" max="1" width="11.36328125" customWidth="1"/>
    <col min="2" max="2" width="22" customWidth="1"/>
    <col min="3" max="3" width="16" customWidth="1"/>
    <col min="4" max="5" width="17.453125" customWidth="1"/>
  </cols>
  <sheetData>
    <row r="1" spans="1:5" x14ac:dyDescent="0.35">
      <c r="A1" s="1" t="s">
        <v>1499</v>
      </c>
      <c r="B1" s="1" t="s">
        <v>1500</v>
      </c>
      <c r="C1" s="1" t="s">
        <v>11</v>
      </c>
      <c r="D1" s="1" t="s">
        <v>1501</v>
      </c>
      <c r="E1" s="1" t="s">
        <v>1502</v>
      </c>
    </row>
    <row r="2" spans="1:5" x14ac:dyDescent="0.35">
      <c r="A2" t="s">
        <v>1503</v>
      </c>
      <c r="B2" t="s">
        <v>1504</v>
      </c>
      <c r="C2" t="s">
        <v>31</v>
      </c>
      <c r="D2">
        <v>30</v>
      </c>
    </row>
    <row r="3" spans="1:5" x14ac:dyDescent="0.35">
      <c r="A3" t="s">
        <v>1505</v>
      </c>
      <c r="B3" t="s">
        <v>1506</v>
      </c>
      <c r="C3" t="s">
        <v>96</v>
      </c>
      <c r="D3" t="s">
        <v>1507</v>
      </c>
      <c r="E3">
        <v>2989</v>
      </c>
    </row>
    <row r="4" spans="1:5" x14ac:dyDescent="0.35">
      <c r="A4" t="s">
        <v>1508</v>
      </c>
      <c r="B4" t="s">
        <v>1509</v>
      </c>
      <c r="C4" t="s">
        <v>175</v>
      </c>
    </row>
    <row r="5" spans="1:5" x14ac:dyDescent="0.35">
      <c r="A5" t="s">
        <v>1510</v>
      </c>
      <c r="B5" t="s">
        <v>1511</v>
      </c>
      <c r="C5" t="s">
        <v>199</v>
      </c>
      <c r="D5">
        <v>8</v>
      </c>
    </row>
    <row r="6" spans="1:5" x14ac:dyDescent="0.35">
      <c r="A6" t="s">
        <v>1512</v>
      </c>
      <c r="B6" t="s">
        <v>1513</v>
      </c>
      <c r="C6" t="s">
        <v>107</v>
      </c>
      <c r="E6">
        <v>-100</v>
      </c>
    </row>
    <row r="7" spans="1:5" x14ac:dyDescent="0.35">
      <c r="A7" t="s">
        <v>1514</v>
      </c>
      <c r="B7" t="s">
        <v>1515</v>
      </c>
      <c r="C7" t="s">
        <v>48</v>
      </c>
      <c r="D7" t="s">
        <v>1507</v>
      </c>
      <c r="E7" t="s">
        <v>1516</v>
      </c>
    </row>
    <row r="8" spans="1:5" x14ac:dyDescent="0.35">
      <c r="A8" t="s">
        <v>1517</v>
      </c>
      <c r="B8" t="s">
        <v>1518</v>
      </c>
      <c r="C8" t="s">
        <v>143</v>
      </c>
      <c r="D8">
        <v>-2</v>
      </c>
      <c r="E8">
        <v>-100</v>
      </c>
    </row>
    <row r="9" spans="1:5" x14ac:dyDescent="0.35">
      <c r="A9" t="s">
        <v>1519</v>
      </c>
      <c r="B9" t="s">
        <v>1520</v>
      </c>
      <c r="C9" t="s">
        <v>31</v>
      </c>
      <c r="D9">
        <v>-2</v>
      </c>
      <c r="E9">
        <v>-100</v>
      </c>
    </row>
    <row r="10" spans="1:5" x14ac:dyDescent="0.35">
      <c r="A10" t="s">
        <v>1521</v>
      </c>
      <c r="B10" t="s">
        <v>1522</v>
      </c>
      <c r="C10" t="s">
        <v>103</v>
      </c>
      <c r="D10">
        <v>19</v>
      </c>
      <c r="E10" t="s">
        <v>1516</v>
      </c>
    </row>
    <row r="11" spans="1:5" x14ac:dyDescent="0.35">
      <c r="A11" t="s">
        <v>1523</v>
      </c>
      <c r="B11" t="s">
        <v>1524</v>
      </c>
      <c r="C11" t="s">
        <v>143</v>
      </c>
      <c r="D11">
        <v>12</v>
      </c>
      <c r="E11">
        <v>-100</v>
      </c>
    </row>
    <row r="12" spans="1:5" x14ac:dyDescent="0.35">
      <c r="A12" t="s">
        <v>1525</v>
      </c>
      <c r="B12" t="s">
        <v>1526</v>
      </c>
      <c r="C12" t="s">
        <v>226</v>
      </c>
      <c r="E12">
        <v>674</v>
      </c>
    </row>
    <row r="13" spans="1:5" x14ac:dyDescent="0.35">
      <c r="A13" t="s">
        <v>1527</v>
      </c>
      <c r="B13" t="s">
        <v>1528</v>
      </c>
      <c r="C13" t="s">
        <v>55</v>
      </c>
      <c r="D13">
        <v>27</v>
      </c>
    </row>
    <row r="14" spans="1:5" x14ac:dyDescent="0.35">
      <c r="A14" t="s">
        <v>1529</v>
      </c>
      <c r="B14" t="s">
        <v>1530</v>
      </c>
      <c r="C14" t="s">
        <v>143</v>
      </c>
      <c r="D14">
        <v>31</v>
      </c>
      <c r="E14">
        <v>2870</v>
      </c>
    </row>
    <row r="15" spans="1:5" x14ac:dyDescent="0.35">
      <c r="A15" t="s">
        <v>1531</v>
      </c>
      <c r="B15" t="s">
        <v>1532</v>
      </c>
      <c r="C15" t="s">
        <v>86</v>
      </c>
    </row>
    <row r="16" spans="1:5" x14ac:dyDescent="0.35">
      <c r="A16" t="s">
        <v>1533</v>
      </c>
      <c r="B16" t="s">
        <v>1534</v>
      </c>
      <c r="C16" t="s">
        <v>55</v>
      </c>
    </row>
    <row r="17" spans="1:5" x14ac:dyDescent="0.35">
      <c r="A17" t="s">
        <v>1535</v>
      </c>
      <c r="B17" t="s">
        <v>1536</v>
      </c>
      <c r="C17" t="s">
        <v>107</v>
      </c>
      <c r="D17">
        <v>5</v>
      </c>
      <c r="E17">
        <v>-100</v>
      </c>
    </row>
    <row r="18" spans="1:5" x14ac:dyDescent="0.35">
      <c r="A18" t="s">
        <v>1537</v>
      </c>
      <c r="B18" t="s">
        <v>1538</v>
      </c>
      <c r="C18" t="s">
        <v>143</v>
      </c>
      <c r="E18">
        <v>-100</v>
      </c>
    </row>
    <row r="19" spans="1:5" x14ac:dyDescent="0.35">
      <c r="A19" t="s">
        <v>1539</v>
      </c>
      <c r="B19" t="s">
        <v>1540</v>
      </c>
      <c r="C19" t="s">
        <v>42</v>
      </c>
      <c r="E19">
        <v>961</v>
      </c>
    </row>
    <row r="20" spans="1:5" x14ac:dyDescent="0.35">
      <c r="A20" t="s">
        <v>1541</v>
      </c>
      <c r="B20" t="s">
        <v>1542</v>
      </c>
      <c r="C20" t="s">
        <v>143</v>
      </c>
      <c r="D20" t="s">
        <v>1507</v>
      </c>
      <c r="E20">
        <v>2628</v>
      </c>
    </row>
    <row r="21" spans="1:5" x14ac:dyDescent="0.35">
      <c r="A21" t="s">
        <v>1543</v>
      </c>
      <c r="B21" t="s">
        <v>1544</v>
      </c>
      <c r="C21" t="s">
        <v>107</v>
      </c>
      <c r="D21">
        <v>35</v>
      </c>
      <c r="E21">
        <v>2233</v>
      </c>
    </row>
    <row r="22" spans="1:5" x14ac:dyDescent="0.35">
      <c r="A22" t="s">
        <v>1545</v>
      </c>
      <c r="B22" t="s">
        <v>1546</v>
      </c>
      <c r="C22" t="s">
        <v>199</v>
      </c>
      <c r="D22">
        <v>-2</v>
      </c>
      <c r="E22">
        <v>2491</v>
      </c>
    </row>
    <row r="23" spans="1:5" x14ac:dyDescent="0.35">
      <c r="A23" t="s">
        <v>1547</v>
      </c>
      <c r="B23" t="s">
        <v>1548</v>
      </c>
      <c r="C23" t="s">
        <v>55</v>
      </c>
      <c r="D23" t="s">
        <v>1507</v>
      </c>
      <c r="E23">
        <v>1457</v>
      </c>
    </row>
    <row r="24" spans="1:5" x14ac:dyDescent="0.35">
      <c r="A24" t="s">
        <v>1549</v>
      </c>
      <c r="B24" t="s">
        <v>1550</v>
      </c>
      <c r="C24" t="s">
        <v>199</v>
      </c>
      <c r="D24">
        <v>17</v>
      </c>
      <c r="E24" t="s">
        <v>1516</v>
      </c>
    </row>
    <row r="25" spans="1:5" x14ac:dyDescent="0.35">
      <c r="A25" t="s">
        <v>1551</v>
      </c>
      <c r="B25" t="s">
        <v>1552</v>
      </c>
      <c r="C25" t="s">
        <v>21</v>
      </c>
      <c r="D25" t="s">
        <v>1507</v>
      </c>
      <c r="E25">
        <v>867</v>
      </c>
    </row>
    <row r="26" spans="1:5" x14ac:dyDescent="0.35">
      <c r="A26" t="s">
        <v>1553</v>
      </c>
      <c r="B26" t="s">
        <v>1554</v>
      </c>
      <c r="C26" t="s">
        <v>31</v>
      </c>
      <c r="E26" t="s">
        <v>1516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1"/>
  <sheetViews>
    <sheetView workbookViewId="0">
      <selection activeCell="I4" sqref="I4"/>
    </sheetView>
  </sheetViews>
  <sheetFormatPr defaultRowHeight="14.5" x14ac:dyDescent="0.35"/>
  <cols>
    <col min="1" max="1" width="10" customWidth="1"/>
    <col min="2" max="2" width="12" customWidth="1"/>
    <col min="3" max="3" width="16" customWidth="1"/>
    <col min="4" max="4" width="14" customWidth="1"/>
    <col min="5" max="5" width="13.7265625" customWidth="1"/>
    <col min="6" max="6" width="10" customWidth="1"/>
    <col min="7" max="7" width="15.08984375" customWidth="1"/>
    <col min="8" max="8" width="12" customWidth="1"/>
    <col min="9" max="9" width="12.453125" customWidth="1"/>
  </cols>
  <sheetData>
    <row r="1" spans="1:9" x14ac:dyDescent="0.35">
      <c r="A1" s="1" t="s">
        <v>1555</v>
      </c>
      <c r="B1" s="1" t="s">
        <v>0</v>
      </c>
      <c r="C1" s="1" t="s">
        <v>1556</v>
      </c>
      <c r="D1" s="1" t="s">
        <v>1557</v>
      </c>
      <c r="E1" s="1" t="s">
        <v>1558</v>
      </c>
      <c r="F1" s="1" t="s">
        <v>1559</v>
      </c>
      <c r="G1" s="1" t="s">
        <v>1560</v>
      </c>
      <c r="H1" s="1" t="s">
        <v>1561</v>
      </c>
      <c r="I1" s="6" t="s">
        <v>2533</v>
      </c>
    </row>
    <row r="2" spans="1:9" x14ac:dyDescent="0.35">
      <c r="A2" t="s">
        <v>1562</v>
      </c>
      <c r="B2" t="s">
        <v>977</v>
      </c>
      <c r="C2" t="s">
        <v>1563</v>
      </c>
      <c r="D2" t="s">
        <v>1564</v>
      </c>
      <c r="E2">
        <v>197.9</v>
      </c>
      <c r="F2" t="s">
        <v>1565</v>
      </c>
      <c r="G2" t="s">
        <v>1566</v>
      </c>
      <c r="H2" t="s">
        <v>1567</v>
      </c>
      <c r="I2" t="str">
        <f>IF(COUNTIF(Old_Patient_Records!$A$2:$A$549,Table4[[#This Row],[Patient_ID]])=0,"Orphan","Valid")</f>
        <v>Valid</v>
      </c>
    </row>
    <row r="3" spans="1:9" x14ac:dyDescent="0.35">
      <c r="A3" t="s">
        <v>1568</v>
      </c>
      <c r="B3" t="s">
        <v>867</v>
      </c>
      <c r="C3" t="s">
        <v>1569</v>
      </c>
      <c r="D3" t="s">
        <v>1570</v>
      </c>
      <c r="E3">
        <v>11.4</v>
      </c>
      <c r="F3" t="s">
        <v>1571</v>
      </c>
      <c r="G3" t="s">
        <v>1572</v>
      </c>
      <c r="H3" t="s">
        <v>1573</v>
      </c>
      <c r="I3" t="str">
        <f>IF(COUNTIF(Old_Patient_Records!$A$2:$A$549,Table4[[#This Row],[Patient_ID]])=0,"Orphan","Valid")</f>
        <v>Valid</v>
      </c>
    </row>
    <row r="4" spans="1:9" x14ac:dyDescent="0.35">
      <c r="A4" t="s">
        <v>1574</v>
      </c>
      <c r="B4" t="s">
        <v>109</v>
      </c>
      <c r="C4" t="s">
        <v>1563</v>
      </c>
      <c r="D4" t="s">
        <v>1575</v>
      </c>
      <c r="E4">
        <v>144.1</v>
      </c>
      <c r="F4" t="s">
        <v>1565</v>
      </c>
      <c r="G4" t="s">
        <v>1566</v>
      </c>
      <c r="H4" t="s">
        <v>1573</v>
      </c>
      <c r="I4" t="str">
        <f>IF(COUNTIF(Old_Patient_Records!$A$2:$A$549,Table4[[#This Row],[Patient_ID]])=0,"Orphan","Valid")</f>
        <v>Valid</v>
      </c>
    </row>
    <row r="5" spans="1:9" x14ac:dyDescent="0.35">
      <c r="A5" t="s">
        <v>1576</v>
      </c>
      <c r="B5" t="s">
        <v>438</v>
      </c>
      <c r="C5" t="s">
        <v>1569</v>
      </c>
      <c r="D5" t="s">
        <v>1577</v>
      </c>
      <c r="E5">
        <v>40.9</v>
      </c>
      <c r="F5" t="s">
        <v>1571</v>
      </c>
      <c r="G5" t="s">
        <v>1572</v>
      </c>
      <c r="H5" t="s">
        <v>1578</v>
      </c>
      <c r="I5" t="str">
        <f>IF(COUNTIF(Old_Patient_Records!$A$2:$A$549,Table4[[#This Row],[Patient_ID]])=0,"Orphan","Valid")</f>
        <v>Valid</v>
      </c>
    </row>
    <row r="6" spans="1:9" x14ac:dyDescent="0.35">
      <c r="A6" t="s">
        <v>1579</v>
      </c>
      <c r="B6" t="s">
        <v>905</v>
      </c>
      <c r="C6" t="s">
        <v>1580</v>
      </c>
      <c r="D6" t="s">
        <v>1581</v>
      </c>
      <c r="F6" t="s">
        <v>1571</v>
      </c>
      <c r="G6" t="s">
        <v>1582</v>
      </c>
      <c r="H6" t="s">
        <v>1583</v>
      </c>
      <c r="I6" t="str">
        <f>IF(COUNTIF(Old_Patient_Records!$A$2:$A$549,Table4[[#This Row],[Patient_ID]])=0,"Orphan","Valid")</f>
        <v>Valid</v>
      </c>
    </row>
    <row r="7" spans="1:9" x14ac:dyDescent="0.35">
      <c r="A7" t="s">
        <v>1584</v>
      </c>
      <c r="B7" t="s">
        <v>1459</v>
      </c>
      <c r="C7" t="s">
        <v>1585</v>
      </c>
      <c r="D7" t="s">
        <v>1586</v>
      </c>
      <c r="E7">
        <v>104.4</v>
      </c>
      <c r="F7" t="s">
        <v>1587</v>
      </c>
      <c r="G7" t="s">
        <v>1588</v>
      </c>
      <c r="H7" t="s">
        <v>1589</v>
      </c>
      <c r="I7" t="str">
        <f>IF(COUNTIF(Old_Patient_Records!$A$2:$A$549,Table4[[#This Row],[Patient_ID]])=0,"Orphan","Valid")</f>
        <v>Valid</v>
      </c>
    </row>
    <row r="8" spans="1:9" x14ac:dyDescent="0.35">
      <c r="A8" t="s">
        <v>1590</v>
      </c>
      <c r="B8" t="s">
        <v>931</v>
      </c>
      <c r="C8" t="s">
        <v>1591</v>
      </c>
      <c r="D8" t="s">
        <v>1592</v>
      </c>
      <c r="E8">
        <v>133.19999999999999</v>
      </c>
      <c r="F8" t="s">
        <v>1593</v>
      </c>
      <c r="G8" t="s">
        <v>1594</v>
      </c>
      <c r="H8" t="s">
        <v>1589</v>
      </c>
      <c r="I8" t="str">
        <f>IF(COUNTIF(Old_Patient_Records!$A$2:$A$549,Table4[[#This Row],[Patient_ID]])=0,"Orphan","Valid")</f>
        <v>Valid</v>
      </c>
    </row>
    <row r="9" spans="1:9" x14ac:dyDescent="0.35">
      <c r="A9" t="s">
        <v>1595</v>
      </c>
      <c r="B9" t="s">
        <v>1374</v>
      </c>
      <c r="C9" t="s">
        <v>1591</v>
      </c>
      <c r="D9" t="s">
        <v>1596</v>
      </c>
      <c r="F9" t="s">
        <v>1593</v>
      </c>
      <c r="G9" t="s">
        <v>1594</v>
      </c>
      <c r="H9" t="s">
        <v>1578</v>
      </c>
      <c r="I9" t="str">
        <f>IF(COUNTIF(Old_Patient_Records!$A$2:$A$549,Table4[[#This Row],[Patient_ID]])=0,"Orphan","Valid")</f>
        <v>Valid</v>
      </c>
    </row>
    <row r="10" spans="1:9" x14ac:dyDescent="0.35">
      <c r="A10" t="s">
        <v>1597</v>
      </c>
      <c r="B10" t="s">
        <v>498</v>
      </c>
      <c r="C10" t="s">
        <v>1563</v>
      </c>
      <c r="D10" t="s">
        <v>1598</v>
      </c>
      <c r="E10">
        <v>73.2</v>
      </c>
      <c r="F10" t="s">
        <v>1565</v>
      </c>
      <c r="G10" t="s">
        <v>1566</v>
      </c>
      <c r="H10" t="s">
        <v>1578</v>
      </c>
      <c r="I10" t="str">
        <f>IF(COUNTIF(Old_Patient_Records!$A$2:$A$549,Table4[[#This Row],[Patient_ID]])=0,"Orphan","Valid")</f>
        <v>Valid</v>
      </c>
    </row>
    <row r="11" spans="1:9" x14ac:dyDescent="0.35">
      <c r="A11" t="s">
        <v>1599</v>
      </c>
      <c r="B11" t="s">
        <v>82</v>
      </c>
      <c r="C11" t="s">
        <v>1563</v>
      </c>
      <c r="D11" t="s">
        <v>1600</v>
      </c>
      <c r="E11">
        <v>210.8</v>
      </c>
      <c r="F11" t="s">
        <v>1565</v>
      </c>
      <c r="G11" t="s">
        <v>1566</v>
      </c>
      <c r="H11" t="s">
        <v>1578</v>
      </c>
      <c r="I11" t="str">
        <f>IF(COUNTIF(Old_Patient_Records!$A$2:$A$549,Table4[[#This Row],[Patient_ID]])=0,"Orphan","Valid")</f>
        <v>Valid</v>
      </c>
    </row>
    <row r="12" spans="1:9" x14ac:dyDescent="0.35">
      <c r="A12" t="s">
        <v>1601</v>
      </c>
      <c r="B12" t="s">
        <v>1152</v>
      </c>
      <c r="C12" t="s">
        <v>1563</v>
      </c>
      <c r="D12" t="s">
        <v>1602</v>
      </c>
      <c r="E12">
        <v>158.5</v>
      </c>
      <c r="F12" t="s">
        <v>1565</v>
      </c>
      <c r="G12" t="s">
        <v>1566</v>
      </c>
      <c r="H12" t="s">
        <v>1573</v>
      </c>
      <c r="I12" t="str">
        <f>IF(COUNTIF(Old_Patient_Records!$A$2:$A$549,Table4[[#This Row],[Patient_ID]])=0,"Orphan","Valid")</f>
        <v>Valid</v>
      </c>
    </row>
    <row r="13" spans="1:9" x14ac:dyDescent="0.35">
      <c r="A13" t="s">
        <v>1603</v>
      </c>
      <c r="B13" t="s">
        <v>304</v>
      </c>
      <c r="C13" t="s">
        <v>1591</v>
      </c>
      <c r="D13" t="s">
        <v>1604</v>
      </c>
      <c r="E13">
        <v>242.8</v>
      </c>
      <c r="F13" t="s">
        <v>1593</v>
      </c>
      <c r="G13" t="s">
        <v>1594</v>
      </c>
      <c r="H13" t="s">
        <v>1578</v>
      </c>
      <c r="I13" t="str">
        <f>IF(COUNTIF(Old_Patient_Records!$A$2:$A$549,Table4[[#This Row],[Patient_ID]])=0,"Orphan","Valid")</f>
        <v>Valid</v>
      </c>
    </row>
    <row r="14" spans="1:9" x14ac:dyDescent="0.35">
      <c r="A14" t="s">
        <v>1605</v>
      </c>
      <c r="B14" t="s">
        <v>590</v>
      </c>
      <c r="C14" t="s">
        <v>1563</v>
      </c>
      <c r="D14" t="s">
        <v>1606</v>
      </c>
      <c r="E14">
        <v>174</v>
      </c>
      <c r="F14" t="s">
        <v>1565</v>
      </c>
      <c r="G14" t="s">
        <v>1566</v>
      </c>
      <c r="I14" t="str">
        <f>IF(COUNTIF(Old_Patient_Records!$A$2:$A$549,Table4[[#This Row],[Patient_ID]])=0,"Orphan","Valid")</f>
        <v>Valid</v>
      </c>
    </row>
    <row r="15" spans="1:9" x14ac:dyDescent="0.35">
      <c r="A15" t="s">
        <v>1607</v>
      </c>
      <c r="B15" t="s">
        <v>813</v>
      </c>
      <c r="C15" t="s">
        <v>1569</v>
      </c>
      <c r="D15" t="s">
        <v>550</v>
      </c>
      <c r="E15">
        <v>140.19999999999999</v>
      </c>
      <c r="F15" t="s">
        <v>1571</v>
      </c>
      <c r="G15" t="s">
        <v>1572</v>
      </c>
      <c r="H15" t="s">
        <v>1608</v>
      </c>
      <c r="I15" t="str">
        <f>IF(COUNTIF(Old_Patient_Records!$A$2:$A$549,Table4[[#This Row],[Patient_ID]])=0,"Orphan","Valid")</f>
        <v>Valid</v>
      </c>
    </row>
    <row r="16" spans="1:9" x14ac:dyDescent="0.35">
      <c r="A16" t="s">
        <v>1609</v>
      </c>
      <c r="B16" t="s">
        <v>251</v>
      </c>
      <c r="C16" t="s">
        <v>1569</v>
      </c>
      <c r="D16" t="s">
        <v>1610</v>
      </c>
      <c r="E16">
        <v>55.9</v>
      </c>
      <c r="F16" t="s">
        <v>1571</v>
      </c>
      <c r="G16" t="s">
        <v>1572</v>
      </c>
      <c r="H16" t="s">
        <v>1608</v>
      </c>
      <c r="I16" t="str">
        <f>IF(COUNTIF(Old_Patient_Records!$A$2:$A$549,Table4[[#This Row],[Patient_ID]])=0,"Orphan","Valid")</f>
        <v>Valid</v>
      </c>
    </row>
    <row r="17" spans="1:9" x14ac:dyDescent="0.35">
      <c r="A17" t="s">
        <v>1611</v>
      </c>
      <c r="B17" t="s">
        <v>222</v>
      </c>
      <c r="C17" t="s">
        <v>1591</v>
      </c>
      <c r="D17" t="s">
        <v>1612</v>
      </c>
      <c r="E17">
        <v>83.1</v>
      </c>
      <c r="F17" t="s">
        <v>1593</v>
      </c>
      <c r="G17" t="s">
        <v>1594</v>
      </c>
      <c r="H17" t="s">
        <v>1608</v>
      </c>
      <c r="I17" t="str">
        <f>IF(COUNTIF(Old_Patient_Records!$A$2:$A$549,Table4[[#This Row],[Patient_ID]])=0,"Orphan","Valid")</f>
        <v>Valid</v>
      </c>
    </row>
    <row r="18" spans="1:9" x14ac:dyDescent="0.35">
      <c r="A18" t="s">
        <v>1613</v>
      </c>
      <c r="B18" t="s">
        <v>632</v>
      </c>
      <c r="C18" t="s">
        <v>1614</v>
      </c>
      <c r="D18" t="s">
        <v>1615</v>
      </c>
      <c r="E18">
        <v>29.5</v>
      </c>
      <c r="F18" t="s">
        <v>1616</v>
      </c>
      <c r="G18" t="s">
        <v>1617</v>
      </c>
      <c r="H18" t="s">
        <v>1567</v>
      </c>
      <c r="I18" t="str">
        <f>IF(COUNTIF(Old_Patient_Records!$A$2:$A$549,Table4[[#This Row],[Patient_ID]])=0,"Orphan","Valid")</f>
        <v>Valid</v>
      </c>
    </row>
    <row r="19" spans="1:9" x14ac:dyDescent="0.35">
      <c r="A19" t="s">
        <v>1618</v>
      </c>
      <c r="B19" t="s">
        <v>390</v>
      </c>
      <c r="C19" t="s">
        <v>1591</v>
      </c>
      <c r="D19" t="s">
        <v>1619</v>
      </c>
      <c r="E19">
        <v>181.4</v>
      </c>
      <c r="F19" t="s">
        <v>1593</v>
      </c>
      <c r="G19" t="s">
        <v>1594</v>
      </c>
      <c r="I19" t="str">
        <f>IF(COUNTIF(Old_Patient_Records!$A$2:$A$549,Table4[[#This Row],[Patient_ID]])=0,"Orphan","Valid")</f>
        <v>Valid</v>
      </c>
    </row>
    <row r="20" spans="1:9" x14ac:dyDescent="0.35">
      <c r="A20" t="s">
        <v>1620</v>
      </c>
      <c r="B20" t="s">
        <v>1173</v>
      </c>
      <c r="C20" t="s">
        <v>1580</v>
      </c>
      <c r="D20" t="s">
        <v>1621</v>
      </c>
      <c r="E20">
        <v>152.30000000000001</v>
      </c>
      <c r="F20" t="s">
        <v>1571</v>
      </c>
      <c r="G20" t="s">
        <v>1582</v>
      </c>
      <c r="H20" t="s">
        <v>1583</v>
      </c>
      <c r="I20" t="str">
        <f>IF(COUNTIF(Old_Patient_Records!$A$2:$A$549,Table4[[#This Row],[Patient_ID]])=0,"Orphan","Valid")</f>
        <v>Valid</v>
      </c>
    </row>
    <row r="21" spans="1:9" x14ac:dyDescent="0.35">
      <c r="A21" t="s">
        <v>1622</v>
      </c>
      <c r="B21" t="s">
        <v>895</v>
      </c>
      <c r="C21" t="s">
        <v>1614</v>
      </c>
      <c r="D21" t="s">
        <v>1623</v>
      </c>
      <c r="E21">
        <v>69.7</v>
      </c>
      <c r="F21" t="s">
        <v>1616</v>
      </c>
      <c r="G21" t="s">
        <v>1617</v>
      </c>
      <c r="H21" t="s">
        <v>1583</v>
      </c>
      <c r="I21" t="str">
        <f>IF(COUNTIF(Old_Patient_Records!$A$2:$A$549,Table4[[#This Row],[Patient_ID]])=0,"Orphan","Valid")</f>
        <v>Valid</v>
      </c>
    </row>
    <row r="22" spans="1:9" x14ac:dyDescent="0.35">
      <c r="A22" t="s">
        <v>1624</v>
      </c>
      <c r="B22" t="s">
        <v>1258</v>
      </c>
      <c r="C22" t="s">
        <v>1591</v>
      </c>
      <c r="D22" t="s">
        <v>1625</v>
      </c>
      <c r="E22">
        <v>32.299999999999997</v>
      </c>
      <c r="F22" t="s">
        <v>1593</v>
      </c>
      <c r="G22" t="s">
        <v>1594</v>
      </c>
      <c r="H22" t="s">
        <v>1567</v>
      </c>
      <c r="I22" t="str">
        <f>IF(COUNTIF(Old_Patient_Records!$A$2:$A$549,Table4[[#This Row],[Patient_ID]])=0,"Orphan","Valid")</f>
        <v>Valid</v>
      </c>
    </row>
    <row r="23" spans="1:9" x14ac:dyDescent="0.35">
      <c r="A23" t="s">
        <v>1626</v>
      </c>
      <c r="B23" t="s">
        <v>1438</v>
      </c>
      <c r="C23" t="s">
        <v>1563</v>
      </c>
      <c r="D23" t="s">
        <v>1627</v>
      </c>
      <c r="E23">
        <v>120.3</v>
      </c>
      <c r="F23" t="s">
        <v>1565</v>
      </c>
      <c r="G23" t="s">
        <v>1566</v>
      </c>
      <c r="H23" t="s">
        <v>1573</v>
      </c>
      <c r="I23" t="str">
        <f>IF(COUNTIF(Old_Patient_Records!$A$2:$A$549,Table4[[#This Row],[Patient_ID]])=0,"Orphan","Valid")</f>
        <v>Valid</v>
      </c>
    </row>
    <row r="24" spans="1:9" x14ac:dyDescent="0.35">
      <c r="A24" t="s">
        <v>1628</v>
      </c>
      <c r="B24" t="s">
        <v>1265</v>
      </c>
      <c r="C24" t="s">
        <v>1580</v>
      </c>
      <c r="D24" t="s">
        <v>1629</v>
      </c>
      <c r="E24">
        <v>88.9</v>
      </c>
      <c r="F24" t="s">
        <v>1571</v>
      </c>
      <c r="G24" t="s">
        <v>1582</v>
      </c>
      <c r="H24" t="s">
        <v>1608</v>
      </c>
      <c r="I24" t="str">
        <f>IF(COUNTIF(Old_Patient_Records!$A$2:$A$549,Table4[[#This Row],[Patient_ID]])=0,"Orphan","Valid")</f>
        <v>Valid</v>
      </c>
    </row>
    <row r="25" spans="1:9" x14ac:dyDescent="0.35">
      <c r="A25" t="s">
        <v>1630</v>
      </c>
      <c r="B25" t="s">
        <v>1418</v>
      </c>
      <c r="C25" t="s">
        <v>1569</v>
      </c>
      <c r="D25" t="s">
        <v>1631</v>
      </c>
      <c r="E25">
        <v>79.8</v>
      </c>
      <c r="F25" t="s">
        <v>1571</v>
      </c>
      <c r="G25" t="s">
        <v>1572</v>
      </c>
      <c r="H25" t="s">
        <v>1573</v>
      </c>
      <c r="I25" t="str">
        <f>IF(COUNTIF(Old_Patient_Records!$A$2:$A$549,Table4[[#This Row],[Patient_ID]])=0,"Orphan","Valid")</f>
        <v>Valid</v>
      </c>
    </row>
    <row r="26" spans="1:9" x14ac:dyDescent="0.35">
      <c r="A26" t="s">
        <v>1632</v>
      </c>
      <c r="B26" t="s">
        <v>512</v>
      </c>
      <c r="C26" t="s">
        <v>1591</v>
      </c>
      <c r="D26" t="s">
        <v>1633</v>
      </c>
      <c r="E26">
        <v>84.3</v>
      </c>
      <c r="F26" t="s">
        <v>1593</v>
      </c>
      <c r="G26" t="s">
        <v>1594</v>
      </c>
      <c r="H26" t="s">
        <v>1589</v>
      </c>
      <c r="I26" t="str">
        <f>IF(COUNTIF(Old_Patient_Records!$A$2:$A$549,Table4[[#This Row],[Patient_ID]])=0,"Orphan","Valid")</f>
        <v>Valid</v>
      </c>
    </row>
    <row r="27" spans="1:9" x14ac:dyDescent="0.35">
      <c r="A27" t="s">
        <v>1634</v>
      </c>
      <c r="B27" t="s">
        <v>965</v>
      </c>
      <c r="C27" t="s">
        <v>1591</v>
      </c>
      <c r="D27" t="s">
        <v>1635</v>
      </c>
      <c r="E27">
        <v>239.4</v>
      </c>
      <c r="F27" t="s">
        <v>1593</v>
      </c>
      <c r="G27" t="s">
        <v>1594</v>
      </c>
      <c r="H27" t="s">
        <v>1573</v>
      </c>
      <c r="I27" t="str">
        <f>IF(COUNTIF(Old_Patient_Records!$A$2:$A$549,Table4[[#This Row],[Patient_ID]])=0,"Orphan","Valid")</f>
        <v>Valid</v>
      </c>
    </row>
    <row r="28" spans="1:9" x14ac:dyDescent="0.35">
      <c r="A28" t="s">
        <v>1636</v>
      </c>
      <c r="B28" t="s">
        <v>1341</v>
      </c>
      <c r="C28" t="s">
        <v>1569</v>
      </c>
      <c r="D28" t="s">
        <v>1637</v>
      </c>
      <c r="E28">
        <v>233.9</v>
      </c>
      <c r="F28" t="s">
        <v>1571</v>
      </c>
      <c r="G28" t="s">
        <v>1572</v>
      </c>
      <c r="H28" t="s">
        <v>1573</v>
      </c>
      <c r="I28" t="str">
        <f>IF(COUNTIF(Old_Patient_Records!$A$2:$A$549,Table4[[#This Row],[Patient_ID]])=0,"Orphan","Valid")</f>
        <v>Valid</v>
      </c>
    </row>
    <row r="29" spans="1:9" x14ac:dyDescent="0.35">
      <c r="A29" t="s">
        <v>1638</v>
      </c>
      <c r="B29" t="s">
        <v>934</v>
      </c>
      <c r="C29" t="s">
        <v>1563</v>
      </c>
      <c r="D29" t="s">
        <v>1639</v>
      </c>
      <c r="E29">
        <v>115.2</v>
      </c>
      <c r="F29" t="s">
        <v>1565</v>
      </c>
      <c r="G29" t="s">
        <v>1566</v>
      </c>
      <c r="H29" t="s">
        <v>1567</v>
      </c>
      <c r="I29" t="str">
        <f>IF(COUNTIF(Old_Patient_Records!$A$2:$A$549,Table4[[#This Row],[Patient_ID]])=0,"Orphan","Valid")</f>
        <v>Valid</v>
      </c>
    </row>
    <row r="30" spans="1:9" x14ac:dyDescent="0.35">
      <c r="A30" t="s">
        <v>1640</v>
      </c>
      <c r="B30" t="s">
        <v>1178</v>
      </c>
      <c r="C30" t="s">
        <v>1614</v>
      </c>
      <c r="D30" t="s">
        <v>1641</v>
      </c>
      <c r="E30">
        <v>91.6</v>
      </c>
      <c r="F30" t="s">
        <v>1616</v>
      </c>
      <c r="G30" t="s">
        <v>1617</v>
      </c>
      <c r="H30" t="s">
        <v>1567</v>
      </c>
      <c r="I30" t="str">
        <f>IF(COUNTIF(Old_Patient_Records!$A$2:$A$549,Table4[[#This Row],[Patient_ID]])=0,"Orphan","Valid")</f>
        <v>Valid</v>
      </c>
    </row>
    <row r="31" spans="1:9" x14ac:dyDescent="0.35">
      <c r="A31" t="s">
        <v>1642</v>
      </c>
      <c r="B31" t="s">
        <v>787</v>
      </c>
      <c r="C31" t="s">
        <v>1585</v>
      </c>
      <c r="D31" t="s">
        <v>1643</v>
      </c>
      <c r="E31">
        <v>77.2</v>
      </c>
      <c r="F31" t="s">
        <v>1587</v>
      </c>
      <c r="G31" t="s">
        <v>1588</v>
      </c>
      <c r="H31" t="s">
        <v>1644</v>
      </c>
      <c r="I31" t="str">
        <f>IF(COUNTIF(Old_Patient_Records!$A$2:$A$549,Table4[[#This Row],[Patient_ID]])=0,"Orphan","Valid")</f>
        <v>Valid</v>
      </c>
    </row>
    <row r="32" spans="1:9" x14ac:dyDescent="0.35">
      <c r="A32" t="s">
        <v>1645</v>
      </c>
      <c r="B32" t="s">
        <v>567</v>
      </c>
      <c r="C32" t="s">
        <v>1563</v>
      </c>
      <c r="D32" t="s">
        <v>1646</v>
      </c>
      <c r="E32">
        <v>200.4</v>
      </c>
      <c r="F32" t="s">
        <v>1565</v>
      </c>
      <c r="G32" t="s">
        <v>1566</v>
      </c>
      <c r="H32" t="s">
        <v>1608</v>
      </c>
      <c r="I32" t="str">
        <f>IF(COUNTIF(Old_Patient_Records!$A$2:$A$549,Table4[[#This Row],[Patient_ID]])=0,"Orphan","Valid")</f>
        <v>Valid</v>
      </c>
    </row>
    <row r="33" spans="1:9" x14ac:dyDescent="0.35">
      <c r="A33" t="s">
        <v>1647</v>
      </c>
      <c r="B33" t="s">
        <v>965</v>
      </c>
      <c r="C33" t="s">
        <v>1580</v>
      </c>
      <c r="D33" t="s">
        <v>1648</v>
      </c>
      <c r="E33">
        <v>182.1</v>
      </c>
      <c r="F33" t="s">
        <v>1571</v>
      </c>
      <c r="G33" t="s">
        <v>1582</v>
      </c>
      <c r="H33" t="s">
        <v>1644</v>
      </c>
      <c r="I33" t="str">
        <f>IF(COUNTIF(Old_Patient_Records!$A$2:$A$549,Table4[[#This Row],[Patient_ID]])=0,"Orphan","Valid")</f>
        <v>Valid</v>
      </c>
    </row>
    <row r="34" spans="1:9" x14ac:dyDescent="0.35">
      <c r="A34" t="s">
        <v>1649</v>
      </c>
      <c r="B34" t="s">
        <v>1380</v>
      </c>
      <c r="C34" t="s">
        <v>1585</v>
      </c>
      <c r="D34" t="s">
        <v>1650</v>
      </c>
      <c r="E34">
        <v>66.2</v>
      </c>
      <c r="F34" t="s">
        <v>1587</v>
      </c>
      <c r="G34" t="s">
        <v>1588</v>
      </c>
      <c r="H34" t="s">
        <v>1608</v>
      </c>
      <c r="I34" t="str">
        <f>IF(COUNTIF(Old_Patient_Records!$A$2:$A$549,Table4[[#This Row],[Patient_ID]])=0,"Orphan","Valid")</f>
        <v>Valid</v>
      </c>
    </row>
    <row r="35" spans="1:9" x14ac:dyDescent="0.35">
      <c r="A35" t="s">
        <v>1651</v>
      </c>
      <c r="B35" t="s">
        <v>835</v>
      </c>
      <c r="C35" t="s">
        <v>1580</v>
      </c>
      <c r="D35" t="s">
        <v>1652</v>
      </c>
      <c r="E35">
        <v>136.80000000000001</v>
      </c>
      <c r="F35" t="s">
        <v>1571</v>
      </c>
      <c r="G35" t="s">
        <v>1582</v>
      </c>
      <c r="I35" t="str">
        <f>IF(COUNTIF(Old_Patient_Records!$A$2:$A$549,Table4[[#This Row],[Patient_ID]])=0,"Orphan","Valid")</f>
        <v>Valid</v>
      </c>
    </row>
    <row r="36" spans="1:9" x14ac:dyDescent="0.35">
      <c r="A36" t="s">
        <v>1653</v>
      </c>
      <c r="B36" t="s">
        <v>288</v>
      </c>
      <c r="C36" t="s">
        <v>1569</v>
      </c>
      <c r="D36" t="s">
        <v>1654</v>
      </c>
      <c r="E36">
        <v>84.5</v>
      </c>
      <c r="F36" t="s">
        <v>1571</v>
      </c>
      <c r="G36" t="s">
        <v>1572</v>
      </c>
      <c r="H36" t="s">
        <v>1589</v>
      </c>
      <c r="I36" t="str">
        <f>IF(COUNTIF(Old_Patient_Records!$A$2:$A$549,Table4[[#This Row],[Patient_ID]])=0,"Orphan","Valid")</f>
        <v>Valid</v>
      </c>
    </row>
    <row r="37" spans="1:9" x14ac:dyDescent="0.35">
      <c r="A37" t="s">
        <v>1655</v>
      </c>
      <c r="B37" t="s">
        <v>567</v>
      </c>
      <c r="C37" t="s">
        <v>1591</v>
      </c>
      <c r="D37" t="s">
        <v>1656</v>
      </c>
      <c r="E37">
        <v>142.6</v>
      </c>
      <c r="F37" t="s">
        <v>1593</v>
      </c>
      <c r="G37" t="s">
        <v>1594</v>
      </c>
      <c r="H37" t="s">
        <v>1583</v>
      </c>
      <c r="I37" t="str">
        <f>IF(COUNTIF(Old_Patient_Records!$A$2:$A$549,Table4[[#This Row],[Patient_ID]])=0,"Orphan","Valid")</f>
        <v>Valid</v>
      </c>
    </row>
    <row r="38" spans="1:9" x14ac:dyDescent="0.35">
      <c r="A38" t="s">
        <v>1657</v>
      </c>
      <c r="B38" t="s">
        <v>1489</v>
      </c>
      <c r="C38" t="s">
        <v>1585</v>
      </c>
      <c r="D38" t="s">
        <v>1658</v>
      </c>
      <c r="E38">
        <v>205.2</v>
      </c>
      <c r="F38" t="s">
        <v>1587</v>
      </c>
      <c r="G38" t="s">
        <v>1588</v>
      </c>
      <c r="H38" t="s">
        <v>1659</v>
      </c>
      <c r="I38" t="str">
        <f>IF(COUNTIF(Old_Patient_Records!$A$2:$A$549,Table4[[#This Row],[Patient_ID]])=0,"Orphan","Valid")</f>
        <v>Valid</v>
      </c>
    </row>
    <row r="39" spans="1:9" x14ac:dyDescent="0.35">
      <c r="A39" t="s">
        <v>1660</v>
      </c>
      <c r="B39" t="s">
        <v>1273</v>
      </c>
      <c r="C39" t="s">
        <v>1563</v>
      </c>
      <c r="D39" t="s">
        <v>1661</v>
      </c>
      <c r="E39">
        <v>188.1</v>
      </c>
      <c r="F39" t="s">
        <v>1565</v>
      </c>
      <c r="G39" t="s">
        <v>1566</v>
      </c>
      <c r="H39" t="s">
        <v>1578</v>
      </c>
      <c r="I39" t="str">
        <f>IF(COUNTIF(Old_Patient_Records!$A$2:$A$549,Table4[[#This Row],[Patient_ID]])=0,"Orphan","Valid")</f>
        <v>Valid</v>
      </c>
    </row>
    <row r="40" spans="1:9" x14ac:dyDescent="0.35">
      <c r="A40" t="s">
        <v>1662</v>
      </c>
      <c r="B40" t="s">
        <v>634</v>
      </c>
      <c r="C40" t="s">
        <v>1614</v>
      </c>
      <c r="D40" t="s">
        <v>1663</v>
      </c>
      <c r="E40">
        <v>171</v>
      </c>
      <c r="F40" t="s">
        <v>1616</v>
      </c>
      <c r="G40" t="s">
        <v>1617</v>
      </c>
      <c r="H40" t="s">
        <v>1567</v>
      </c>
      <c r="I40" t="str">
        <f>IF(COUNTIF(Old_Patient_Records!$A$2:$A$549,Table4[[#This Row],[Patient_ID]])=0,"Orphan","Valid")</f>
        <v>Valid</v>
      </c>
    </row>
    <row r="41" spans="1:9" x14ac:dyDescent="0.35">
      <c r="A41" t="s">
        <v>1664</v>
      </c>
      <c r="B41" t="s">
        <v>1182</v>
      </c>
      <c r="C41" t="s">
        <v>1569</v>
      </c>
      <c r="D41" t="s">
        <v>1665</v>
      </c>
      <c r="E41">
        <v>109.7</v>
      </c>
      <c r="F41" t="s">
        <v>1571</v>
      </c>
      <c r="G41" t="s">
        <v>1572</v>
      </c>
      <c r="H41" t="s">
        <v>1567</v>
      </c>
      <c r="I41" t="str">
        <f>IF(COUNTIF(Old_Patient_Records!$A$2:$A$549,Table4[[#This Row],[Patient_ID]])=0,"Orphan","Valid")</f>
        <v>Valid</v>
      </c>
    </row>
    <row r="42" spans="1:9" x14ac:dyDescent="0.35">
      <c r="A42" t="s">
        <v>1666</v>
      </c>
      <c r="B42" t="s">
        <v>1253</v>
      </c>
      <c r="C42" t="s">
        <v>1591</v>
      </c>
      <c r="D42" t="s">
        <v>1667</v>
      </c>
      <c r="E42">
        <v>248.9</v>
      </c>
      <c r="F42" t="s">
        <v>1593</v>
      </c>
      <c r="G42" t="s">
        <v>1594</v>
      </c>
      <c r="I42" t="str">
        <f>IF(COUNTIF(Old_Patient_Records!$A$2:$A$549,Table4[[#This Row],[Patient_ID]])=0,"Orphan","Valid")</f>
        <v>Valid</v>
      </c>
    </row>
    <row r="43" spans="1:9" x14ac:dyDescent="0.35">
      <c r="A43" t="s">
        <v>1668</v>
      </c>
      <c r="B43" t="s">
        <v>268</v>
      </c>
      <c r="C43" t="s">
        <v>1563</v>
      </c>
      <c r="D43" t="s">
        <v>1669</v>
      </c>
      <c r="E43">
        <v>184.9</v>
      </c>
      <c r="F43" t="s">
        <v>1565</v>
      </c>
      <c r="G43" t="s">
        <v>1566</v>
      </c>
      <c r="H43" t="s">
        <v>1589</v>
      </c>
      <c r="I43" t="str">
        <f>IF(COUNTIF(Old_Patient_Records!$A$2:$A$549,Table4[[#This Row],[Patient_ID]])=0,"Orphan","Valid")</f>
        <v>Valid</v>
      </c>
    </row>
    <row r="44" spans="1:9" x14ac:dyDescent="0.35">
      <c r="A44" t="s">
        <v>1670</v>
      </c>
      <c r="B44" t="s">
        <v>326</v>
      </c>
      <c r="C44" t="s">
        <v>1591</v>
      </c>
      <c r="D44" t="s">
        <v>1671</v>
      </c>
      <c r="E44">
        <v>145.6</v>
      </c>
      <c r="F44" t="s">
        <v>1593</v>
      </c>
      <c r="G44" t="s">
        <v>1594</v>
      </c>
      <c r="H44" t="s">
        <v>1644</v>
      </c>
      <c r="I44" t="str">
        <f>IF(COUNTIF(Old_Patient_Records!$A$2:$A$549,Table4[[#This Row],[Patient_ID]])=0,"Orphan","Valid")</f>
        <v>Valid</v>
      </c>
    </row>
    <row r="45" spans="1:9" x14ac:dyDescent="0.35">
      <c r="A45" t="s">
        <v>1672</v>
      </c>
      <c r="B45" t="s">
        <v>504</v>
      </c>
      <c r="C45" t="s">
        <v>1563</v>
      </c>
      <c r="D45" t="s">
        <v>1673</v>
      </c>
      <c r="E45">
        <v>164.4</v>
      </c>
      <c r="F45" t="s">
        <v>1565</v>
      </c>
      <c r="G45" t="s">
        <v>1566</v>
      </c>
      <c r="H45" t="s">
        <v>1583</v>
      </c>
      <c r="I45" t="str">
        <f>IF(COUNTIF(Old_Patient_Records!$A$2:$A$549,Table4[[#This Row],[Patient_ID]])=0,"Orphan","Valid")</f>
        <v>Valid</v>
      </c>
    </row>
    <row r="46" spans="1:9" x14ac:dyDescent="0.35">
      <c r="A46" t="s">
        <v>1674</v>
      </c>
      <c r="B46" t="s">
        <v>1240</v>
      </c>
      <c r="C46" t="s">
        <v>1585</v>
      </c>
      <c r="D46" t="s">
        <v>1675</v>
      </c>
      <c r="E46">
        <v>222.9</v>
      </c>
      <c r="F46" t="s">
        <v>1587</v>
      </c>
      <c r="G46" t="s">
        <v>1588</v>
      </c>
      <c r="H46" t="s">
        <v>1644</v>
      </c>
      <c r="I46" t="str">
        <f>IF(COUNTIF(Old_Patient_Records!$A$2:$A$549,Table4[[#This Row],[Patient_ID]])=0,"Orphan","Valid")</f>
        <v>Valid</v>
      </c>
    </row>
    <row r="47" spans="1:9" x14ac:dyDescent="0.35">
      <c r="A47" t="s">
        <v>1676</v>
      </c>
      <c r="B47" t="s">
        <v>1677</v>
      </c>
      <c r="C47" t="s">
        <v>1580</v>
      </c>
      <c r="D47" t="s">
        <v>426</v>
      </c>
      <c r="E47">
        <v>84</v>
      </c>
      <c r="F47" t="s">
        <v>1571</v>
      </c>
      <c r="G47" t="s">
        <v>1582</v>
      </c>
      <c r="H47" t="s">
        <v>1659</v>
      </c>
      <c r="I47" t="str">
        <f>IF(COUNTIF(Old_Patient_Records!$A$2:$A$549,Table4[[#This Row],[Patient_ID]])=0,"Orphan","Valid")</f>
        <v>Orphan</v>
      </c>
    </row>
    <row r="48" spans="1:9" x14ac:dyDescent="0.35">
      <c r="A48" t="s">
        <v>1678</v>
      </c>
      <c r="B48" t="s">
        <v>639</v>
      </c>
      <c r="C48" t="s">
        <v>1591</v>
      </c>
      <c r="D48" t="s">
        <v>1679</v>
      </c>
      <c r="E48">
        <v>193.6</v>
      </c>
      <c r="F48" t="s">
        <v>1593</v>
      </c>
      <c r="G48" t="s">
        <v>1594</v>
      </c>
      <c r="H48" t="s">
        <v>1589</v>
      </c>
      <c r="I48" t="str">
        <f>IF(COUNTIF(Old_Patient_Records!$A$2:$A$549,Table4[[#This Row],[Patient_ID]])=0,"Orphan","Valid")</f>
        <v>Valid</v>
      </c>
    </row>
    <row r="49" spans="1:9" x14ac:dyDescent="0.35">
      <c r="A49" t="s">
        <v>1680</v>
      </c>
      <c r="B49" t="s">
        <v>656</v>
      </c>
      <c r="C49" t="s">
        <v>1569</v>
      </c>
      <c r="D49" t="s">
        <v>1681</v>
      </c>
      <c r="E49">
        <v>80.599999999999994</v>
      </c>
      <c r="F49" t="s">
        <v>1571</v>
      </c>
      <c r="G49" t="s">
        <v>1572</v>
      </c>
      <c r="H49" t="s">
        <v>1567</v>
      </c>
      <c r="I49" t="str">
        <f>IF(COUNTIF(Old_Patient_Records!$A$2:$A$549,Table4[[#This Row],[Patient_ID]])=0,"Orphan","Valid")</f>
        <v>Valid</v>
      </c>
    </row>
    <row r="50" spans="1:9" x14ac:dyDescent="0.35">
      <c r="A50" t="s">
        <v>1682</v>
      </c>
      <c r="B50" t="s">
        <v>271</v>
      </c>
      <c r="C50" t="s">
        <v>1569</v>
      </c>
      <c r="D50" t="s">
        <v>1683</v>
      </c>
      <c r="E50">
        <v>85.2</v>
      </c>
      <c r="F50" t="s">
        <v>1571</v>
      </c>
      <c r="G50" t="s">
        <v>1572</v>
      </c>
      <c r="H50" t="s">
        <v>1578</v>
      </c>
      <c r="I50" t="str">
        <f>IF(COUNTIF(Old_Patient_Records!$A$2:$A$549,Table4[[#This Row],[Patient_ID]])=0,"Orphan","Valid")</f>
        <v>Valid</v>
      </c>
    </row>
    <row r="51" spans="1:9" x14ac:dyDescent="0.35">
      <c r="A51" t="s">
        <v>1684</v>
      </c>
      <c r="B51" t="s">
        <v>1220</v>
      </c>
      <c r="C51" t="s">
        <v>1569</v>
      </c>
      <c r="D51" t="s">
        <v>1685</v>
      </c>
      <c r="E51">
        <v>247.8</v>
      </c>
      <c r="F51" t="s">
        <v>1571</v>
      </c>
      <c r="G51" t="s">
        <v>1572</v>
      </c>
      <c r="H51" t="s">
        <v>1567</v>
      </c>
      <c r="I51" t="str">
        <f>IF(COUNTIF(Old_Patient_Records!$A$2:$A$549,Table4[[#This Row],[Patient_ID]])=0,"Orphan","Valid")</f>
        <v>Valid</v>
      </c>
    </row>
    <row r="52" spans="1:9" x14ac:dyDescent="0.35">
      <c r="A52" t="s">
        <v>1686</v>
      </c>
      <c r="B52" t="s">
        <v>1258</v>
      </c>
      <c r="C52" t="s">
        <v>1569</v>
      </c>
      <c r="D52" t="s">
        <v>1687</v>
      </c>
      <c r="E52">
        <v>35.200000000000003</v>
      </c>
      <c r="F52" t="s">
        <v>1571</v>
      </c>
      <c r="G52" t="s">
        <v>1572</v>
      </c>
      <c r="H52" t="s">
        <v>1578</v>
      </c>
      <c r="I52" t="str">
        <f>IF(COUNTIF(Old_Patient_Records!$A$2:$A$549,Table4[[#This Row],[Patient_ID]])=0,"Orphan","Valid")</f>
        <v>Valid</v>
      </c>
    </row>
    <row r="53" spans="1:9" x14ac:dyDescent="0.35">
      <c r="A53" t="s">
        <v>1688</v>
      </c>
      <c r="B53" t="s">
        <v>846</v>
      </c>
      <c r="C53" t="s">
        <v>1614</v>
      </c>
      <c r="D53" t="s">
        <v>1689</v>
      </c>
      <c r="E53">
        <v>102.8</v>
      </c>
      <c r="F53" t="s">
        <v>1616</v>
      </c>
      <c r="G53" t="s">
        <v>1617</v>
      </c>
      <c r="H53" t="s">
        <v>1608</v>
      </c>
      <c r="I53" t="str">
        <f>IF(COUNTIF(Old_Patient_Records!$A$2:$A$549,Table4[[#This Row],[Patient_ID]])=0,"Orphan","Valid")</f>
        <v>Valid</v>
      </c>
    </row>
    <row r="54" spans="1:9" x14ac:dyDescent="0.35">
      <c r="A54" t="s">
        <v>1690</v>
      </c>
      <c r="B54" t="s">
        <v>1431</v>
      </c>
      <c r="C54" t="s">
        <v>1580</v>
      </c>
      <c r="D54" t="s">
        <v>1691</v>
      </c>
      <c r="E54">
        <v>228.8</v>
      </c>
      <c r="F54" t="s">
        <v>1571</v>
      </c>
      <c r="G54" t="s">
        <v>1582</v>
      </c>
      <c r="H54" t="s">
        <v>1578</v>
      </c>
      <c r="I54" t="str">
        <f>IF(COUNTIF(Old_Patient_Records!$A$2:$A$549,Table4[[#This Row],[Patient_ID]])=0,"Orphan","Valid")</f>
        <v>Valid</v>
      </c>
    </row>
    <row r="55" spans="1:9" x14ac:dyDescent="0.35">
      <c r="A55" t="s">
        <v>1692</v>
      </c>
      <c r="B55" t="s">
        <v>1048</v>
      </c>
      <c r="C55" t="s">
        <v>1580</v>
      </c>
      <c r="D55" t="s">
        <v>1693</v>
      </c>
      <c r="E55">
        <v>188.7</v>
      </c>
      <c r="F55" t="s">
        <v>1571</v>
      </c>
      <c r="G55" t="s">
        <v>1582</v>
      </c>
      <c r="H55" t="s">
        <v>1608</v>
      </c>
      <c r="I55" t="str">
        <f>IF(COUNTIF(Old_Patient_Records!$A$2:$A$549,Table4[[#This Row],[Patient_ID]])=0,"Orphan","Valid")</f>
        <v>Valid</v>
      </c>
    </row>
    <row r="56" spans="1:9" x14ac:dyDescent="0.35">
      <c r="A56" t="s">
        <v>1694</v>
      </c>
      <c r="B56" t="s">
        <v>785</v>
      </c>
      <c r="C56" t="s">
        <v>1591</v>
      </c>
      <c r="D56" t="s">
        <v>1695</v>
      </c>
      <c r="E56">
        <v>129.6</v>
      </c>
      <c r="F56" t="s">
        <v>1593</v>
      </c>
      <c r="G56" t="s">
        <v>1594</v>
      </c>
      <c r="H56" t="s">
        <v>1644</v>
      </c>
      <c r="I56" t="str">
        <f>IF(COUNTIF(Old_Patient_Records!$A$2:$A$549,Table4[[#This Row],[Patient_ID]])=0,"Orphan","Valid")</f>
        <v>Valid</v>
      </c>
    </row>
    <row r="57" spans="1:9" x14ac:dyDescent="0.35">
      <c r="A57" t="s">
        <v>1696</v>
      </c>
      <c r="B57" t="s">
        <v>357</v>
      </c>
      <c r="C57" t="s">
        <v>1614</v>
      </c>
      <c r="D57" t="s">
        <v>1697</v>
      </c>
      <c r="E57">
        <v>91.9</v>
      </c>
      <c r="F57" t="s">
        <v>1616</v>
      </c>
      <c r="G57" t="s">
        <v>1617</v>
      </c>
      <c r="H57" t="s">
        <v>1573</v>
      </c>
      <c r="I57" t="str">
        <f>IF(COUNTIF(Old_Patient_Records!$A$2:$A$549,Table4[[#This Row],[Patient_ID]])=0,"Orphan","Valid")</f>
        <v>Valid</v>
      </c>
    </row>
    <row r="58" spans="1:9" x14ac:dyDescent="0.35">
      <c r="A58" t="s">
        <v>1698</v>
      </c>
      <c r="B58" t="s">
        <v>319</v>
      </c>
      <c r="C58" t="s">
        <v>1569</v>
      </c>
      <c r="D58" t="s">
        <v>1699</v>
      </c>
      <c r="E58">
        <v>164.4</v>
      </c>
      <c r="F58" t="s">
        <v>1571</v>
      </c>
      <c r="G58" t="s">
        <v>1572</v>
      </c>
      <c r="H58" t="s">
        <v>1573</v>
      </c>
      <c r="I58" t="str">
        <f>IF(COUNTIF(Old_Patient_Records!$A$2:$A$549,Table4[[#This Row],[Patient_ID]])=0,"Orphan","Valid")</f>
        <v>Valid</v>
      </c>
    </row>
    <row r="59" spans="1:9" x14ac:dyDescent="0.35">
      <c r="A59" t="s">
        <v>1700</v>
      </c>
      <c r="B59" t="s">
        <v>960</v>
      </c>
      <c r="C59" t="s">
        <v>1585</v>
      </c>
      <c r="D59" t="s">
        <v>1701</v>
      </c>
      <c r="E59">
        <v>16.100000000000001</v>
      </c>
      <c r="F59" t="s">
        <v>1587</v>
      </c>
      <c r="G59" t="s">
        <v>1588</v>
      </c>
      <c r="H59" t="s">
        <v>1567</v>
      </c>
      <c r="I59" t="str">
        <f>IF(COUNTIF(Old_Patient_Records!$A$2:$A$549,Table4[[#This Row],[Patient_ID]])=0,"Orphan","Valid")</f>
        <v>Valid</v>
      </c>
    </row>
    <row r="60" spans="1:9" x14ac:dyDescent="0.35">
      <c r="A60" t="s">
        <v>1702</v>
      </c>
      <c r="B60" t="s">
        <v>471</v>
      </c>
      <c r="C60" t="s">
        <v>1569</v>
      </c>
      <c r="D60" t="s">
        <v>1703</v>
      </c>
      <c r="E60">
        <v>175.3</v>
      </c>
      <c r="F60" t="s">
        <v>1571</v>
      </c>
      <c r="G60" t="s">
        <v>1572</v>
      </c>
      <c r="H60" t="s">
        <v>1578</v>
      </c>
      <c r="I60" t="str">
        <f>IF(COUNTIF(Old_Patient_Records!$A$2:$A$549,Table4[[#This Row],[Patient_ID]])=0,"Orphan","Valid")</f>
        <v>Valid</v>
      </c>
    </row>
    <row r="61" spans="1:9" x14ac:dyDescent="0.35">
      <c r="A61" t="s">
        <v>1704</v>
      </c>
      <c r="B61" t="s">
        <v>1085</v>
      </c>
      <c r="C61" t="s">
        <v>1585</v>
      </c>
      <c r="D61" t="s">
        <v>1264</v>
      </c>
      <c r="E61">
        <v>156.30000000000001</v>
      </c>
      <c r="F61" t="s">
        <v>1587</v>
      </c>
      <c r="G61" t="s">
        <v>1588</v>
      </c>
      <c r="H61" t="s">
        <v>1589</v>
      </c>
      <c r="I61" t="str">
        <f>IF(COUNTIF(Old_Patient_Records!$A$2:$A$549,Table4[[#This Row],[Patient_ID]])=0,"Orphan","Valid")</f>
        <v>Valid</v>
      </c>
    </row>
    <row r="62" spans="1:9" x14ac:dyDescent="0.35">
      <c r="A62" t="s">
        <v>1705</v>
      </c>
      <c r="B62" t="s">
        <v>585</v>
      </c>
      <c r="C62" t="s">
        <v>1591</v>
      </c>
      <c r="D62" t="s">
        <v>1706</v>
      </c>
      <c r="E62">
        <v>94.4</v>
      </c>
      <c r="F62" t="s">
        <v>1593</v>
      </c>
      <c r="G62" t="s">
        <v>1594</v>
      </c>
      <c r="I62" t="str">
        <f>IF(COUNTIF(Old_Patient_Records!$A$2:$A$549,Table4[[#This Row],[Patient_ID]])=0,"Orphan","Valid")</f>
        <v>Valid</v>
      </c>
    </row>
    <row r="63" spans="1:9" x14ac:dyDescent="0.35">
      <c r="A63" t="s">
        <v>1707</v>
      </c>
      <c r="B63" t="s">
        <v>1089</v>
      </c>
      <c r="C63" t="s">
        <v>1569</v>
      </c>
      <c r="D63" t="s">
        <v>1708</v>
      </c>
      <c r="E63">
        <v>227.7</v>
      </c>
      <c r="F63" t="s">
        <v>1571</v>
      </c>
      <c r="G63" t="s">
        <v>1572</v>
      </c>
      <c r="H63" t="s">
        <v>1567</v>
      </c>
      <c r="I63" t="str">
        <f>IF(COUNTIF(Old_Patient_Records!$A$2:$A$549,Table4[[#This Row],[Patient_ID]])=0,"Orphan","Valid")</f>
        <v>Valid</v>
      </c>
    </row>
    <row r="64" spans="1:9" x14ac:dyDescent="0.35">
      <c r="A64" t="s">
        <v>1709</v>
      </c>
      <c r="B64" t="s">
        <v>1710</v>
      </c>
      <c r="C64" t="s">
        <v>1563</v>
      </c>
      <c r="D64" t="s">
        <v>1711</v>
      </c>
      <c r="E64">
        <v>120.3</v>
      </c>
      <c r="F64" t="s">
        <v>1565</v>
      </c>
      <c r="G64" t="s">
        <v>1566</v>
      </c>
      <c r="H64" t="s">
        <v>1567</v>
      </c>
      <c r="I64" t="str">
        <f>IF(COUNTIF(Old_Patient_Records!$A$2:$A$549,Table4[[#This Row],[Patient_ID]])=0,"Orphan","Valid")</f>
        <v>Orphan</v>
      </c>
    </row>
    <row r="65" spans="1:9" x14ac:dyDescent="0.35">
      <c r="A65" t="s">
        <v>1712</v>
      </c>
      <c r="B65" t="s">
        <v>1477</v>
      </c>
      <c r="C65" t="s">
        <v>1591</v>
      </c>
      <c r="D65" t="s">
        <v>1713</v>
      </c>
      <c r="E65">
        <v>46.6</v>
      </c>
      <c r="F65" t="s">
        <v>1593</v>
      </c>
      <c r="G65" t="s">
        <v>1594</v>
      </c>
      <c r="H65" t="s">
        <v>1608</v>
      </c>
      <c r="I65" t="str">
        <f>IF(COUNTIF(Old_Patient_Records!$A$2:$A$549,Table4[[#This Row],[Patient_ID]])=0,"Orphan","Valid")</f>
        <v>Valid</v>
      </c>
    </row>
    <row r="66" spans="1:9" x14ac:dyDescent="0.35">
      <c r="A66" t="s">
        <v>1714</v>
      </c>
      <c r="B66" t="s">
        <v>393</v>
      </c>
      <c r="C66" t="s">
        <v>1614</v>
      </c>
      <c r="D66" t="s">
        <v>1715</v>
      </c>
      <c r="E66">
        <v>242.3</v>
      </c>
      <c r="F66" t="s">
        <v>1616</v>
      </c>
      <c r="G66" t="s">
        <v>1617</v>
      </c>
      <c r="I66" t="str">
        <f>IF(COUNTIF(Old_Patient_Records!$A$2:$A$549,Table4[[#This Row],[Patient_ID]])=0,"Orphan","Valid")</f>
        <v>Valid</v>
      </c>
    </row>
    <row r="67" spans="1:9" x14ac:dyDescent="0.35">
      <c r="A67" t="s">
        <v>1716</v>
      </c>
      <c r="B67" t="s">
        <v>14</v>
      </c>
      <c r="C67" t="s">
        <v>1569</v>
      </c>
      <c r="D67" t="s">
        <v>1717</v>
      </c>
      <c r="E67">
        <v>81.3</v>
      </c>
      <c r="F67" t="s">
        <v>1571</v>
      </c>
      <c r="G67" t="s">
        <v>1572</v>
      </c>
      <c r="H67" t="s">
        <v>1659</v>
      </c>
      <c r="I67" t="str">
        <f>IF(COUNTIF(Old_Patient_Records!$A$2:$A$549,Table4[[#This Row],[Patient_ID]])=0,"Orphan","Valid")</f>
        <v>Valid</v>
      </c>
    </row>
    <row r="68" spans="1:9" x14ac:dyDescent="0.35">
      <c r="A68" t="s">
        <v>1718</v>
      </c>
      <c r="B68" t="s">
        <v>346</v>
      </c>
      <c r="C68" t="s">
        <v>1585</v>
      </c>
      <c r="D68" t="s">
        <v>1440</v>
      </c>
      <c r="E68">
        <v>122.1</v>
      </c>
      <c r="F68" t="s">
        <v>1587</v>
      </c>
      <c r="G68" t="s">
        <v>1588</v>
      </c>
      <c r="H68" t="s">
        <v>1578</v>
      </c>
      <c r="I68" t="str">
        <f>IF(COUNTIF(Old_Patient_Records!$A$2:$A$549,Table4[[#This Row],[Patient_ID]])=0,"Orphan","Valid")</f>
        <v>Valid</v>
      </c>
    </row>
    <row r="69" spans="1:9" x14ac:dyDescent="0.35">
      <c r="A69" t="s">
        <v>1719</v>
      </c>
      <c r="B69" t="s">
        <v>478</v>
      </c>
      <c r="C69" t="s">
        <v>1591</v>
      </c>
      <c r="D69" t="s">
        <v>1720</v>
      </c>
      <c r="E69">
        <v>60.3</v>
      </c>
      <c r="F69" t="s">
        <v>1593</v>
      </c>
      <c r="G69" t="s">
        <v>1594</v>
      </c>
      <c r="H69" t="s">
        <v>1644</v>
      </c>
      <c r="I69" t="str">
        <f>IF(COUNTIF(Old_Patient_Records!$A$2:$A$549,Table4[[#This Row],[Patient_ID]])=0,"Orphan","Valid")</f>
        <v>Valid</v>
      </c>
    </row>
    <row r="70" spans="1:9" x14ac:dyDescent="0.35">
      <c r="A70" t="s">
        <v>1721</v>
      </c>
      <c r="B70" t="s">
        <v>371</v>
      </c>
      <c r="C70" t="s">
        <v>1563</v>
      </c>
      <c r="D70" t="s">
        <v>1722</v>
      </c>
      <c r="E70">
        <v>66.2</v>
      </c>
      <c r="F70" t="s">
        <v>1565</v>
      </c>
      <c r="G70" t="s">
        <v>1566</v>
      </c>
      <c r="I70" t="str">
        <f>IF(COUNTIF(Old_Patient_Records!$A$2:$A$549,Table4[[#This Row],[Patient_ID]])=0,"Orphan","Valid")</f>
        <v>Valid</v>
      </c>
    </row>
    <row r="71" spans="1:9" x14ac:dyDescent="0.35">
      <c r="A71" t="s">
        <v>1723</v>
      </c>
      <c r="B71" t="s">
        <v>1459</v>
      </c>
      <c r="C71" t="s">
        <v>1585</v>
      </c>
      <c r="D71" t="s">
        <v>1724</v>
      </c>
      <c r="E71">
        <v>146.4</v>
      </c>
      <c r="F71" t="s">
        <v>1587</v>
      </c>
      <c r="G71" t="s">
        <v>1588</v>
      </c>
      <c r="H71" t="s">
        <v>1644</v>
      </c>
      <c r="I71" t="str">
        <f>IF(COUNTIF(Old_Patient_Records!$A$2:$A$549,Table4[[#This Row],[Patient_ID]])=0,"Orphan","Valid")</f>
        <v>Valid</v>
      </c>
    </row>
    <row r="72" spans="1:9" x14ac:dyDescent="0.35">
      <c r="A72" t="s">
        <v>1725</v>
      </c>
      <c r="B72" t="s">
        <v>168</v>
      </c>
      <c r="C72" t="s">
        <v>1563</v>
      </c>
      <c r="D72" t="s">
        <v>1726</v>
      </c>
      <c r="E72">
        <v>188.2</v>
      </c>
      <c r="F72" t="s">
        <v>1565</v>
      </c>
      <c r="G72" t="s">
        <v>1566</v>
      </c>
      <c r="H72" t="s">
        <v>1589</v>
      </c>
      <c r="I72" t="str">
        <f>IF(COUNTIF(Old_Patient_Records!$A$2:$A$549,Table4[[#This Row],[Patient_ID]])=0,"Orphan","Valid")</f>
        <v>Valid</v>
      </c>
    </row>
    <row r="73" spans="1:9" x14ac:dyDescent="0.35">
      <c r="A73" t="s">
        <v>1727</v>
      </c>
      <c r="B73" t="s">
        <v>165</v>
      </c>
      <c r="C73" t="s">
        <v>1580</v>
      </c>
      <c r="D73" t="s">
        <v>1728</v>
      </c>
      <c r="E73">
        <v>209.7</v>
      </c>
      <c r="F73" t="s">
        <v>1571</v>
      </c>
      <c r="G73" t="s">
        <v>1582</v>
      </c>
      <c r="H73" t="s">
        <v>1567</v>
      </c>
      <c r="I73" t="str">
        <f>IF(COUNTIF(Old_Patient_Records!$A$2:$A$549,Table4[[#This Row],[Patient_ID]])=0,"Orphan","Valid")</f>
        <v>Valid</v>
      </c>
    </row>
    <row r="74" spans="1:9" x14ac:dyDescent="0.35">
      <c r="A74" t="s">
        <v>1729</v>
      </c>
      <c r="B74" t="s">
        <v>1012</v>
      </c>
      <c r="C74" t="s">
        <v>1591</v>
      </c>
      <c r="D74" t="s">
        <v>1730</v>
      </c>
      <c r="E74">
        <v>51</v>
      </c>
      <c r="F74" t="s">
        <v>1593</v>
      </c>
      <c r="G74" t="s">
        <v>1594</v>
      </c>
      <c r="H74" t="s">
        <v>1578</v>
      </c>
      <c r="I74" t="str">
        <f>IF(COUNTIF(Old_Patient_Records!$A$2:$A$549,Table4[[#This Row],[Patient_ID]])=0,"Orphan","Valid")</f>
        <v>Valid</v>
      </c>
    </row>
    <row r="75" spans="1:9" x14ac:dyDescent="0.35">
      <c r="A75" t="s">
        <v>1731</v>
      </c>
      <c r="B75" t="s">
        <v>1258</v>
      </c>
      <c r="C75" t="s">
        <v>1614</v>
      </c>
      <c r="D75" t="s">
        <v>1732</v>
      </c>
      <c r="E75">
        <v>33.9</v>
      </c>
      <c r="F75" t="s">
        <v>1616</v>
      </c>
      <c r="G75" t="s">
        <v>1617</v>
      </c>
      <c r="H75" t="s">
        <v>1659</v>
      </c>
      <c r="I75" t="str">
        <f>IF(COUNTIF(Old_Patient_Records!$A$2:$A$549,Table4[[#This Row],[Patient_ID]])=0,"Orphan","Valid")</f>
        <v>Valid</v>
      </c>
    </row>
    <row r="76" spans="1:9" x14ac:dyDescent="0.35">
      <c r="A76" t="s">
        <v>1733</v>
      </c>
      <c r="B76" t="s">
        <v>1383</v>
      </c>
      <c r="C76" t="s">
        <v>1569</v>
      </c>
      <c r="D76" t="s">
        <v>1734</v>
      </c>
      <c r="E76">
        <v>194.1</v>
      </c>
      <c r="F76" t="s">
        <v>1571</v>
      </c>
      <c r="G76" t="s">
        <v>1572</v>
      </c>
      <c r="H76" t="s">
        <v>1659</v>
      </c>
      <c r="I76" t="str">
        <f>IF(COUNTIF(Old_Patient_Records!$A$2:$A$549,Table4[[#This Row],[Patient_ID]])=0,"Orphan","Valid")</f>
        <v>Valid</v>
      </c>
    </row>
    <row r="77" spans="1:9" x14ac:dyDescent="0.35">
      <c r="A77" t="s">
        <v>1735</v>
      </c>
      <c r="B77" t="s">
        <v>1067</v>
      </c>
      <c r="C77" t="s">
        <v>1591</v>
      </c>
      <c r="D77" t="s">
        <v>1736</v>
      </c>
      <c r="F77" t="s">
        <v>1593</v>
      </c>
      <c r="G77" t="s">
        <v>1594</v>
      </c>
      <c r="H77" t="s">
        <v>1578</v>
      </c>
      <c r="I77" t="str">
        <f>IF(COUNTIF(Old_Patient_Records!$A$2:$A$549,Table4[[#This Row],[Patient_ID]])=0,"Orphan","Valid")</f>
        <v>Valid</v>
      </c>
    </row>
    <row r="78" spans="1:9" x14ac:dyDescent="0.35">
      <c r="A78" t="s">
        <v>1737</v>
      </c>
      <c r="B78" t="s">
        <v>416</v>
      </c>
      <c r="C78" t="s">
        <v>1614</v>
      </c>
      <c r="D78" t="s">
        <v>1738</v>
      </c>
      <c r="E78">
        <v>139.9</v>
      </c>
      <c r="F78" t="s">
        <v>1616</v>
      </c>
      <c r="G78" t="s">
        <v>1617</v>
      </c>
      <c r="I78" t="str">
        <f>IF(COUNTIF(Old_Patient_Records!$A$2:$A$549,Table4[[#This Row],[Patient_ID]])=0,"Orphan","Valid")</f>
        <v>Valid</v>
      </c>
    </row>
    <row r="79" spans="1:9" x14ac:dyDescent="0.35">
      <c r="A79" t="s">
        <v>1739</v>
      </c>
      <c r="B79" t="s">
        <v>313</v>
      </c>
      <c r="C79" t="s">
        <v>1614</v>
      </c>
      <c r="D79" t="s">
        <v>1625</v>
      </c>
      <c r="E79">
        <v>241.7</v>
      </c>
      <c r="F79" t="s">
        <v>1616</v>
      </c>
      <c r="G79" t="s">
        <v>1617</v>
      </c>
      <c r="H79" t="s">
        <v>1583</v>
      </c>
      <c r="I79" t="str">
        <f>IF(COUNTIF(Old_Patient_Records!$A$2:$A$549,Table4[[#This Row],[Patient_ID]])=0,"Orphan","Valid")</f>
        <v>Valid</v>
      </c>
    </row>
    <row r="80" spans="1:9" x14ac:dyDescent="0.35">
      <c r="A80" t="s">
        <v>1740</v>
      </c>
      <c r="B80" t="s">
        <v>701</v>
      </c>
      <c r="C80" t="s">
        <v>1569</v>
      </c>
      <c r="D80" t="s">
        <v>1373</v>
      </c>
      <c r="E80">
        <v>195.1</v>
      </c>
      <c r="F80" t="s">
        <v>1571</v>
      </c>
      <c r="G80" t="s">
        <v>1572</v>
      </c>
      <c r="H80" t="s">
        <v>1589</v>
      </c>
      <c r="I80" t="str">
        <f>IF(COUNTIF(Old_Patient_Records!$A$2:$A$549,Table4[[#This Row],[Patient_ID]])=0,"Orphan","Valid")</f>
        <v>Valid</v>
      </c>
    </row>
    <row r="81" spans="1:9" x14ac:dyDescent="0.35">
      <c r="A81" t="s">
        <v>1741</v>
      </c>
      <c r="B81" t="s">
        <v>1477</v>
      </c>
      <c r="C81" t="s">
        <v>1591</v>
      </c>
      <c r="D81" t="s">
        <v>1683</v>
      </c>
      <c r="E81">
        <v>16.5</v>
      </c>
      <c r="F81" t="s">
        <v>1593</v>
      </c>
      <c r="G81" t="s">
        <v>1594</v>
      </c>
      <c r="H81" t="s">
        <v>1583</v>
      </c>
      <c r="I81" t="str">
        <f>IF(COUNTIF(Old_Patient_Records!$A$2:$A$549,Table4[[#This Row],[Patient_ID]])=0,"Orphan","Valid")</f>
        <v>Valid</v>
      </c>
    </row>
    <row r="82" spans="1:9" x14ac:dyDescent="0.35">
      <c r="A82" t="s">
        <v>1742</v>
      </c>
      <c r="B82" t="s">
        <v>357</v>
      </c>
      <c r="C82" t="s">
        <v>1569</v>
      </c>
      <c r="D82" t="s">
        <v>1743</v>
      </c>
      <c r="E82">
        <v>171.7</v>
      </c>
      <c r="F82" t="s">
        <v>1571</v>
      </c>
      <c r="G82" t="s">
        <v>1572</v>
      </c>
      <c r="H82" t="s">
        <v>1589</v>
      </c>
      <c r="I82" t="str">
        <f>IF(COUNTIF(Old_Patient_Records!$A$2:$A$549,Table4[[#This Row],[Patient_ID]])=0,"Orphan","Valid")</f>
        <v>Valid</v>
      </c>
    </row>
    <row r="83" spans="1:9" x14ac:dyDescent="0.35">
      <c r="A83" t="s">
        <v>1744</v>
      </c>
      <c r="B83" t="s">
        <v>1220</v>
      </c>
      <c r="C83" t="s">
        <v>1591</v>
      </c>
      <c r="D83" t="s">
        <v>745</v>
      </c>
      <c r="E83">
        <v>215.3</v>
      </c>
      <c r="F83" t="s">
        <v>1593</v>
      </c>
      <c r="G83" t="s">
        <v>1594</v>
      </c>
      <c r="H83" t="s">
        <v>1644</v>
      </c>
      <c r="I83" t="str">
        <f>IF(COUNTIF(Old_Patient_Records!$A$2:$A$549,Table4[[#This Row],[Patient_ID]])=0,"Orphan","Valid")</f>
        <v>Valid</v>
      </c>
    </row>
    <row r="84" spans="1:9" x14ac:dyDescent="0.35">
      <c r="A84" t="s">
        <v>1745</v>
      </c>
      <c r="B84" t="s">
        <v>1352</v>
      </c>
      <c r="C84" t="s">
        <v>1591</v>
      </c>
      <c r="D84" t="s">
        <v>1746</v>
      </c>
      <c r="E84">
        <v>119.7</v>
      </c>
      <c r="F84" t="s">
        <v>1593</v>
      </c>
      <c r="G84" t="s">
        <v>1594</v>
      </c>
      <c r="H84" t="s">
        <v>1608</v>
      </c>
      <c r="I84" t="str">
        <f>IF(COUNTIF(Old_Patient_Records!$A$2:$A$549,Table4[[#This Row],[Patient_ID]])=0,"Orphan","Valid")</f>
        <v>Valid</v>
      </c>
    </row>
    <row r="85" spans="1:9" x14ac:dyDescent="0.35">
      <c r="A85" t="s">
        <v>1747</v>
      </c>
      <c r="B85" t="s">
        <v>926</v>
      </c>
      <c r="C85" t="s">
        <v>1563</v>
      </c>
      <c r="D85" t="s">
        <v>1748</v>
      </c>
      <c r="E85">
        <v>56.1</v>
      </c>
      <c r="F85" t="s">
        <v>1565</v>
      </c>
      <c r="G85" t="s">
        <v>1566</v>
      </c>
      <c r="H85" t="s">
        <v>1644</v>
      </c>
      <c r="I85" t="str">
        <f>IF(COUNTIF(Old_Patient_Records!$A$2:$A$549,Table4[[#This Row],[Patient_ID]])=0,"Orphan","Valid")</f>
        <v>Valid</v>
      </c>
    </row>
    <row r="86" spans="1:9" x14ac:dyDescent="0.35">
      <c r="A86" t="s">
        <v>1749</v>
      </c>
      <c r="B86" t="s">
        <v>526</v>
      </c>
      <c r="C86" t="s">
        <v>1569</v>
      </c>
      <c r="D86" t="s">
        <v>1750</v>
      </c>
      <c r="E86">
        <v>192.3</v>
      </c>
      <c r="F86" t="s">
        <v>1571</v>
      </c>
      <c r="G86" t="s">
        <v>1572</v>
      </c>
      <c r="H86" t="s">
        <v>1589</v>
      </c>
      <c r="I86" t="str">
        <f>IF(COUNTIF(Old_Patient_Records!$A$2:$A$549,Table4[[#This Row],[Patient_ID]])=0,"Orphan","Valid")</f>
        <v>Valid</v>
      </c>
    </row>
    <row r="87" spans="1:9" x14ac:dyDescent="0.35">
      <c r="A87" t="s">
        <v>1751</v>
      </c>
      <c r="B87" t="s">
        <v>621</v>
      </c>
      <c r="C87" t="s">
        <v>1585</v>
      </c>
      <c r="D87" t="s">
        <v>1752</v>
      </c>
      <c r="E87">
        <v>65.900000000000006</v>
      </c>
      <c r="F87" t="s">
        <v>1587</v>
      </c>
      <c r="G87" t="s">
        <v>1588</v>
      </c>
      <c r="H87" t="s">
        <v>1589</v>
      </c>
      <c r="I87" t="str">
        <f>IF(COUNTIF(Old_Patient_Records!$A$2:$A$549,Table4[[#This Row],[Patient_ID]])=0,"Orphan","Valid")</f>
        <v>Valid</v>
      </c>
    </row>
    <row r="88" spans="1:9" x14ac:dyDescent="0.35">
      <c r="A88" t="s">
        <v>1753</v>
      </c>
      <c r="B88" t="s">
        <v>504</v>
      </c>
      <c r="C88" t="s">
        <v>1614</v>
      </c>
      <c r="D88" t="s">
        <v>1754</v>
      </c>
      <c r="E88">
        <v>55.4</v>
      </c>
      <c r="F88" t="s">
        <v>1616</v>
      </c>
      <c r="G88" t="s">
        <v>1617</v>
      </c>
      <c r="H88" t="s">
        <v>1567</v>
      </c>
      <c r="I88" t="str">
        <f>IF(COUNTIF(Old_Patient_Records!$A$2:$A$549,Table4[[#This Row],[Patient_ID]])=0,"Orphan","Valid")</f>
        <v>Valid</v>
      </c>
    </row>
    <row r="89" spans="1:9" x14ac:dyDescent="0.35">
      <c r="A89" t="s">
        <v>1755</v>
      </c>
      <c r="B89" t="s">
        <v>924</v>
      </c>
      <c r="C89" t="s">
        <v>1585</v>
      </c>
      <c r="D89" t="s">
        <v>1756</v>
      </c>
      <c r="E89">
        <v>133.4</v>
      </c>
      <c r="F89" t="s">
        <v>1587</v>
      </c>
      <c r="G89" t="s">
        <v>1588</v>
      </c>
      <c r="I89" t="str">
        <f>IF(COUNTIF(Old_Patient_Records!$A$2:$A$549,Table4[[#This Row],[Patient_ID]])=0,"Orphan","Valid")</f>
        <v>Valid</v>
      </c>
    </row>
    <row r="90" spans="1:9" x14ac:dyDescent="0.35">
      <c r="A90" t="s">
        <v>1757</v>
      </c>
      <c r="B90" t="s">
        <v>1295</v>
      </c>
      <c r="C90" t="s">
        <v>1563</v>
      </c>
      <c r="D90" t="s">
        <v>1758</v>
      </c>
      <c r="E90">
        <v>42.7</v>
      </c>
      <c r="F90" t="s">
        <v>1565</v>
      </c>
      <c r="G90" t="s">
        <v>1566</v>
      </c>
      <c r="H90" t="s">
        <v>1567</v>
      </c>
      <c r="I90" t="str">
        <f>IF(COUNTIF(Old_Patient_Records!$A$2:$A$549,Table4[[#This Row],[Patient_ID]])=0,"Orphan","Valid")</f>
        <v>Valid</v>
      </c>
    </row>
    <row r="91" spans="1:9" x14ac:dyDescent="0.35">
      <c r="A91" t="s">
        <v>1759</v>
      </c>
      <c r="B91" t="s">
        <v>785</v>
      </c>
      <c r="C91" t="s">
        <v>1614</v>
      </c>
      <c r="D91" t="s">
        <v>1760</v>
      </c>
      <c r="E91">
        <v>32.6</v>
      </c>
      <c r="F91" t="s">
        <v>1616</v>
      </c>
      <c r="G91" t="s">
        <v>1617</v>
      </c>
      <c r="I91" t="str">
        <f>IF(COUNTIF(Old_Patient_Records!$A$2:$A$549,Table4[[#This Row],[Patient_ID]])=0,"Orphan","Valid")</f>
        <v>Valid</v>
      </c>
    </row>
    <row r="92" spans="1:9" x14ac:dyDescent="0.35">
      <c r="A92" t="s">
        <v>1761</v>
      </c>
      <c r="B92" t="s">
        <v>366</v>
      </c>
      <c r="C92" t="s">
        <v>1563</v>
      </c>
      <c r="D92" t="s">
        <v>1762</v>
      </c>
      <c r="E92">
        <v>26.7</v>
      </c>
      <c r="F92" t="s">
        <v>1565</v>
      </c>
      <c r="G92" t="s">
        <v>1566</v>
      </c>
      <c r="I92" t="str">
        <f>IF(COUNTIF(Old_Patient_Records!$A$2:$A$549,Table4[[#This Row],[Patient_ID]])=0,"Orphan","Valid")</f>
        <v>Valid</v>
      </c>
    </row>
    <row r="93" spans="1:9" x14ac:dyDescent="0.35">
      <c r="A93" t="s">
        <v>1763</v>
      </c>
      <c r="B93" t="s">
        <v>1212</v>
      </c>
      <c r="C93" t="s">
        <v>1585</v>
      </c>
      <c r="D93" t="s">
        <v>1764</v>
      </c>
      <c r="E93">
        <v>18.899999999999999</v>
      </c>
      <c r="F93" t="s">
        <v>1587</v>
      </c>
      <c r="G93" t="s">
        <v>1588</v>
      </c>
      <c r="H93" t="s">
        <v>1573</v>
      </c>
      <c r="I93" t="str">
        <f>IF(COUNTIF(Old_Patient_Records!$A$2:$A$549,Table4[[#This Row],[Patient_ID]])=0,"Orphan","Valid")</f>
        <v>Valid</v>
      </c>
    </row>
    <row r="94" spans="1:9" x14ac:dyDescent="0.35">
      <c r="A94" t="s">
        <v>1765</v>
      </c>
      <c r="B94" t="s">
        <v>972</v>
      </c>
      <c r="C94" t="s">
        <v>1563</v>
      </c>
      <c r="D94" t="s">
        <v>1766</v>
      </c>
      <c r="E94">
        <v>107.8</v>
      </c>
      <c r="F94" t="s">
        <v>1565</v>
      </c>
      <c r="G94" t="s">
        <v>1566</v>
      </c>
      <c r="H94" t="s">
        <v>1567</v>
      </c>
      <c r="I94" t="str">
        <f>IF(COUNTIF(Old_Patient_Records!$A$2:$A$549,Table4[[#This Row],[Patient_ID]])=0,"Orphan","Valid")</f>
        <v>Valid</v>
      </c>
    </row>
    <row r="95" spans="1:9" x14ac:dyDescent="0.35">
      <c r="A95" t="s">
        <v>1767</v>
      </c>
      <c r="B95" t="s">
        <v>1378</v>
      </c>
      <c r="C95" t="s">
        <v>1580</v>
      </c>
      <c r="D95" t="s">
        <v>1768</v>
      </c>
      <c r="E95">
        <v>64.5</v>
      </c>
      <c r="F95" t="s">
        <v>1571</v>
      </c>
      <c r="G95" t="s">
        <v>1582</v>
      </c>
      <c r="H95" t="s">
        <v>1573</v>
      </c>
      <c r="I95" t="str">
        <f>IF(COUNTIF(Old_Patient_Records!$A$2:$A$549,Table4[[#This Row],[Patient_ID]])=0,"Orphan","Valid")</f>
        <v>Valid</v>
      </c>
    </row>
    <row r="96" spans="1:9" x14ac:dyDescent="0.35">
      <c r="A96" t="s">
        <v>1769</v>
      </c>
      <c r="B96" t="s">
        <v>1383</v>
      </c>
      <c r="C96" t="s">
        <v>1580</v>
      </c>
      <c r="D96" t="s">
        <v>1770</v>
      </c>
      <c r="E96">
        <v>142.4</v>
      </c>
      <c r="F96" t="s">
        <v>1571</v>
      </c>
      <c r="G96" t="s">
        <v>1582</v>
      </c>
      <c r="H96" t="s">
        <v>1583</v>
      </c>
      <c r="I96" t="str">
        <f>IF(COUNTIF(Old_Patient_Records!$A$2:$A$549,Table4[[#This Row],[Patient_ID]])=0,"Orphan","Valid")</f>
        <v>Valid</v>
      </c>
    </row>
    <row r="97" spans="1:9" x14ac:dyDescent="0.35">
      <c r="A97" t="s">
        <v>1771</v>
      </c>
      <c r="B97" t="s">
        <v>379</v>
      </c>
      <c r="C97" t="s">
        <v>1585</v>
      </c>
      <c r="D97" t="s">
        <v>1772</v>
      </c>
      <c r="E97">
        <v>149.6</v>
      </c>
      <c r="F97" t="s">
        <v>1587</v>
      </c>
      <c r="G97" t="s">
        <v>1588</v>
      </c>
      <c r="H97" t="s">
        <v>1608</v>
      </c>
      <c r="I97" t="str">
        <f>IF(COUNTIF(Old_Patient_Records!$A$2:$A$549,Table4[[#This Row],[Patient_ID]])=0,"Orphan","Valid")</f>
        <v>Valid</v>
      </c>
    </row>
    <row r="98" spans="1:9" x14ac:dyDescent="0.35">
      <c r="A98" t="s">
        <v>1773</v>
      </c>
      <c r="B98" t="s">
        <v>743</v>
      </c>
      <c r="C98" t="s">
        <v>1580</v>
      </c>
      <c r="D98" t="s">
        <v>1774</v>
      </c>
      <c r="E98">
        <v>93.4</v>
      </c>
      <c r="F98" t="s">
        <v>1571</v>
      </c>
      <c r="G98" t="s">
        <v>1582</v>
      </c>
      <c r="H98" t="s">
        <v>1567</v>
      </c>
      <c r="I98" t="str">
        <f>IF(COUNTIF(Old_Patient_Records!$A$2:$A$549,Table4[[#This Row],[Patient_ID]])=0,"Orphan","Valid")</f>
        <v>Valid</v>
      </c>
    </row>
    <row r="99" spans="1:9" x14ac:dyDescent="0.35">
      <c r="A99" t="s">
        <v>1775</v>
      </c>
      <c r="B99" t="s">
        <v>1258</v>
      </c>
      <c r="C99" t="s">
        <v>1563</v>
      </c>
      <c r="D99" t="s">
        <v>1776</v>
      </c>
      <c r="E99">
        <v>213.8</v>
      </c>
      <c r="F99" t="s">
        <v>1565</v>
      </c>
      <c r="G99" t="s">
        <v>1566</v>
      </c>
      <c r="H99" t="s">
        <v>1644</v>
      </c>
      <c r="I99" t="str">
        <f>IF(COUNTIF(Old_Patient_Records!$A$2:$A$549,Table4[[#This Row],[Patient_ID]])=0,"Orphan","Valid")</f>
        <v>Valid</v>
      </c>
    </row>
    <row r="100" spans="1:9" x14ac:dyDescent="0.35">
      <c r="A100" t="s">
        <v>1777</v>
      </c>
      <c r="B100" t="s">
        <v>1240</v>
      </c>
      <c r="C100" t="s">
        <v>1585</v>
      </c>
      <c r="D100" t="s">
        <v>1778</v>
      </c>
      <c r="F100" t="s">
        <v>1587</v>
      </c>
      <c r="G100" t="s">
        <v>1588</v>
      </c>
      <c r="H100" t="s">
        <v>1659</v>
      </c>
      <c r="I100" t="str">
        <f>IF(COUNTIF(Old_Patient_Records!$A$2:$A$549,Table4[[#This Row],[Patient_ID]])=0,"Orphan","Valid")</f>
        <v>Valid</v>
      </c>
    </row>
    <row r="101" spans="1:9" x14ac:dyDescent="0.35">
      <c r="A101" t="s">
        <v>1779</v>
      </c>
      <c r="B101" t="s">
        <v>1188</v>
      </c>
      <c r="C101" t="s">
        <v>1580</v>
      </c>
      <c r="D101" t="s">
        <v>1780</v>
      </c>
      <c r="E101">
        <v>201.5</v>
      </c>
      <c r="F101" t="s">
        <v>1571</v>
      </c>
      <c r="G101" t="s">
        <v>1582</v>
      </c>
      <c r="H101" t="s">
        <v>1659</v>
      </c>
      <c r="I101" t="str">
        <f>IF(COUNTIF(Old_Patient_Records!$A$2:$A$549,Table4[[#This Row],[Patient_ID]])=0,"Orphan","Valid")</f>
        <v>Valid</v>
      </c>
    </row>
    <row r="102" spans="1:9" x14ac:dyDescent="0.35">
      <c r="A102" t="s">
        <v>1781</v>
      </c>
      <c r="B102" t="s">
        <v>766</v>
      </c>
      <c r="C102" t="s">
        <v>1563</v>
      </c>
      <c r="D102" t="s">
        <v>1782</v>
      </c>
      <c r="E102">
        <v>72.8</v>
      </c>
      <c r="F102" t="s">
        <v>1565</v>
      </c>
      <c r="G102" t="s">
        <v>1566</v>
      </c>
      <c r="H102" t="s">
        <v>1573</v>
      </c>
      <c r="I102" t="str">
        <f>IF(COUNTIF(Old_Patient_Records!$A$2:$A$549,Table4[[#This Row],[Patient_ID]])=0,"Orphan","Valid")</f>
        <v>Valid</v>
      </c>
    </row>
    <row r="103" spans="1:9" x14ac:dyDescent="0.35">
      <c r="A103" t="s">
        <v>1783</v>
      </c>
      <c r="B103" t="s">
        <v>954</v>
      </c>
      <c r="C103" t="s">
        <v>1569</v>
      </c>
      <c r="D103" t="s">
        <v>1784</v>
      </c>
      <c r="E103">
        <v>186.5</v>
      </c>
      <c r="F103" t="s">
        <v>1571</v>
      </c>
      <c r="G103" t="s">
        <v>1572</v>
      </c>
      <c r="H103" t="s">
        <v>1608</v>
      </c>
      <c r="I103" t="str">
        <f>IF(COUNTIF(Old_Patient_Records!$A$2:$A$549,Table4[[#This Row],[Patient_ID]])=0,"Orphan","Valid")</f>
        <v>Valid</v>
      </c>
    </row>
    <row r="104" spans="1:9" x14ac:dyDescent="0.35">
      <c r="A104" t="s">
        <v>1785</v>
      </c>
      <c r="B104" t="s">
        <v>715</v>
      </c>
      <c r="C104" t="s">
        <v>1563</v>
      </c>
      <c r="D104" t="s">
        <v>1786</v>
      </c>
      <c r="E104">
        <v>82.6</v>
      </c>
      <c r="F104" t="s">
        <v>1565</v>
      </c>
      <c r="G104" t="s">
        <v>1566</v>
      </c>
      <c r="H104" t="s">
        <v>1644</v>
      </c>
      <c r="I104" t="str">
        <f>IF(COUNTIF(Old_Patient_Records!$A$2:$A$549,Table4[[#This Row],[Patient_ID]])=0,"Orphan","Valid")</f>
        <v>Valid</v>
      </c>
    </row>
    <row r="105" spans="1:9" x14ac:dyDescent="0.35">
      <c r="A105" t="s">
        <v>1787</v>
      </c>
      <c r="B105" t="s">
        <v>599</v>
      </c>
      <c r="C105" t="s">
        <v>1563</v>
      </c>
      <c r="D105" t="s">
        <v>1788</v>
      </c>
      <c r="E105">
        <v>190.4</v>
      </c>
      <c r="F105" t="s">
        <v>1565</v>
      </c>
      <c r="G105" t="s">
        <v>1566</v>
      </c>
      <c r="H105" t="s">
        <v>1659</v>
      </c>
      <c r="I105" t="str">
        <f>IF(COUNTIF(Old_Patient_Records!$A$2:$A$549,Table4[[#This Row],[Patient_ID]])=0,"Orphan","Valid")</f>
        <v>Valid</v>
      </c>
    </row>
    <row r="106" spans="1:9" x14ac:dyDescent="0.35">
      <c r="A106" t="s">
        <v>1789</v>
      </c>
      <c r="B106" t="s">
        <v>524</v>
      </c>
      <c r="C106" t="s">
        <v>1614</v>
      </c>
      <c r="D106" t="s">
        <v>1790</v>
      </c>
      <c r="E106">
        <v>240</v>
      </c>
      <c r="F106" t="s">
        <v>1616</v>
      </c>
      <c r="G106" t="s">
        <v>1617</v>
      </c>
      <c r="H106" t="s">
        <v>1573</v>
      </c>
      <c r="I106" t="str">
        <f>IF(COUNTIF(Old_Patient_Records!$A$2:$A$549,Table4[[#This Row],[Patient_ID]])=0,"Orphan","Valid")</f>
        <v>Valid</v>
      </c>
    </row>
    <row r="107" spans="1:9" x14ac:dyDescent="0.35">
      <c r="A107" t="s">
        <v>1791</v>
      </c>
      <c r="B107" t="s">
        <v>126</v>
      </c>
      <c r="C107" t="s">
        <v>1591</v>
      </c>
      <c r="D107" t="s">
        <v>1792</v>
      </c>
      <c r="E107">
        <v>190.4</v>
      </c>
      <c r="F107" t="s">
        <v>1593</v>
      </c>
      <c r="G107" t="s">
        <v>1594</v>
      </c>
      <c r="H107" t="s">
        <v>1608</v>
      </c>
      <c r="I107" t="str">
        <f>IF(COUNTIF(Old_Patient_Records!$A$2:$A$549,Table4[[#This Row],[Patient_ID]])=0,"Orphan","Valid")</f>
        <v>Valid</v>
      </c>
    </row>
    <row r="108" spans="1:9" x14ac:dyDescent="0.35">
      <c r="A108" t="s">
        <v>1793</v>
      </c>
      <c r="B108" t="s">
        <v>1168</v>
      </c>
      <c r="C108" t="s">
        <v>1569</v>
      </c>
      <c r="D108" t="s">
        <v>1794</v>
      </c>
      <c r="E108">
        <v>213.8</v>
      </c>
      <c r="F108" t="s">
        <v>1571</v>
      </c>
      <c r="G108" t="s">
        <v>1572</v>
      </c>
      <c r="H108" t="s">
        <v>1659</v>
      </c>
      <c r="I108" t="str">
        <f>IF(COUNTIF(Old_Patient_Records!$A$2:$A$549,Table4[[#This Row],[Patient_ID]])=0,"Orphan","Valid")</f>
        <v>Valid</v>
      </c>
    </row>
    <row r="109" spans="1:9" x14ac:dyDescent="0.35">
      <c r="A109" t="s">
        <v>1795</v>
      </c>
      <c r="B109" t="s">
        <v>1115</v>
      </c>
      <c r="C109" t="s">
        <v>1614</v>
      </c>
      <c r="D109" t="s">
        <v>1796</v>
      </c>
      <c r="E109">
        <v>30.4</v>
      </c>
      <c r="F109" t="s">
        <v>1616</v>
      </c>
      <c r="G109" t="s">
        <v>1617</v>
      </c>
      <c r="H109" t="s">
        <v>1608</v>
      </c>
      <c r="I109" t="str">
        <f>IF(COUNTIF(Old_Patient_Records!$A$2:$A$549,Table4[[#This Row],[Patient_ID]])=0,"Orphan","Valid")</f>
        <v>Valid</v>
      </c>
    </row>
    <row r="110" spans="1:9" x14ac:dyDescent="0.35">
      <c r="A110" t="s">
        <v>1797</v>
      </c>
      <c r="B110" t="s">
        <v>1265</v>
      </c>
      <c r="C110" t="s">
        <v>1563</v>
      </c>
      <c r="D110" t="s">
        <v>1798</v>
      </c>
      <c r="E110">
        <v>207.4</v>
      </c>
      <c r="F110" t="s">
        <v>1565</v>
      </c>
      <c r="G110" t="s">
        <v>1566</v>
      </c>
      <c r="H110" t="s">
        <v>1573</v>
      </c>
      <c r="I110" t="str">
        <f>IF(COUNTIF(Old_Patient_Records!$A$2:$A$549,Table4[[#This Row],[Patient_ID]])=0,"Orphan","Valid")</f>
        <v>Valid</v>
      </c>
    </row>
    <row r="111" spans="1:9" x14ac:dyDescent="0.35">
      <c r="A111" t="s">
        <v>1799</v>
      </c>
      <c r="B111" t="s">
        <v>693</v>
      </c>
      <c r="C111" t="s">
        <v>1580</v>
      </c>
      <c r="D111" t="s">
        <v>1800</v>
      </c>
      <c r="E111">
        <v>65.099999999999994</v>
      </c>
      <c r="F111" t="s">
        <v>1571</v>
      </c>
      <c r="G111" t="s">
        <v>1582</v>
      </c>
      <c r="H111" t="s">
        <v>1567</v>
      </c>
      <c r="I111" t="str">
        <f>IF(COUNTIF(Old_Patient_Records!$A$2:$A$549,Table4[[#This Row],[Patient_ID]])=0,"Orphan","Valid")</f>
        <v>Valid</v>
      </c>
    </row>
    <row r="112" spans="1:9" x14ac:dyDescent="0.35">
      <c r="A112" t="s">
        <v>1801</v>
      </c>
      <c r="B112" t="s">
        <v>122</v>
      </c>
      <c r="C112" t="s">
        <v>1563</v>
      </c>
      <c r="D112" t="s">
        <v>1802</v>
      </c>
      <c r="E112">
        <v>215.1</v>
      </c>
      <c r="F112" t="s">
        <v>1565</v>
      </c>
      <c r="G112" t="s">
        <v>1566</v>
      </c>
      <c r="H112" t="s">
        <v>1583</v>
      </c>
      <c r="I112" t="str">
        <f>IF(COUNTIF(Old_Patient_Records!$A$2:$A$549,Table4[[#This Row],[Patient_ID]])=0,"Orphan","Valid")</f>
        <v>Valid</v>
      </c>
    </row>
    <row r="113" spans="1:9" x14ac:dyDescent="0.35">
      <c r="A113" t="s">
        <v>1803</v>
      </c>
      <c r="B113" t="s">
        <v>616</v>
      </c>
      <c r="C113" t="s">
        <v>1591</v>
      </c>
      <c r="D113" t="s">
        <v>1804</v>
      </c>
      <c r="E113">
        <v>106</v>
      </c>
      <c r="F113" t="s">
        <v>1593</v>
      </c>
      <c r="G113" t="s">
        <v>1594</v>
      </c>
      <c r="H113" t="s">
        <v>1644</v>
      </c>
      <c r="I113" t="str">
        <f>IF(COUNTIF(Old_Patient_Records!$A$2:$A$549,Table4[[#This Row],[Patient_ID]])=0,"Orphan","Valid")</f>
        <v>Valid</v>
      </c>
    </row>
    <row r="114" spans="1:9" x14ac:dyDescent="0.35">
      <c r="A114" t="s">
        <v>1805</v>
      </c>
      <c r="B114" t="s">
        <v>228</v>
      </c>
      <c r="C114" t="s">
        <v>1585</v>
      </c>
      <c r="D114" t="s">
        <v>1806</v>
      </c>
      <c r="E114">
        <v>201.8</v>
      </c>
      <c r="F114" t="s">
        <v>1587</v>
      </c>
      <c r="G114" t="s">
        <v>1588</v>
      </c>
      <c r="H114" t="s">
        <v>1578</v>
      </c>
      <c r="I114" t="str">
        <f>IF(COUNTIF(Old_Patient_Records!$A$2:$A$549,Table4[[#This Row],[Patient_ID]])=0,"Orphan","Valid")</f>
        <v>Valid</v>
      </c>
    </row>
    <row r="115" spans="1:9" x14ac:dyDescent="0.35">
      <c r="A115" t="s">
        <v>1807</v>
      </c>
      <c r="B115" t="s">
        <v>297</v>
      </c>
      <c r="C115" t="s">
        <v>1563</v>
      </c>
      <c r="D115" t="s">
        <v>1808</v>
      </c>
      <c r="E115">
        <v>239.7</v>
      </c>
      <c r="F115" t="s">
        <v>1565</v>
      </c>
      <c r="G115" t="s">
        <v>1566</v>
      </c>
      <c r="H115" t="s">
        <v>1589</v>
      </c>
      <c r="I115" t="str">
        <f>IF(COUNTIF(Old_Patient_Records!$A$2:$A$549,Table4[[#This Row],[Patient_ID]])=0,"Orphan","Valid")</f>
        <v>Valid</v>
      </c>
    </row>
    <row r="116" spans="1:9" x14ac:dyDescent="0.35">
      <c r="A116" t="s">
        <v>1809</v>
      </c>
      <c r="B116" t="s">
        <v>1433</v>
      </c>
      <c r="C116" t="s">
        <v>1580</v>
      </c>
      <c r="D116" t="s">
        <v>1810</v>
      </c>
      <c r="E116">
        <v>178.5</v>
      </c>
      <c r="F116" t="s">
        <v>1571</v>
      </c>
      <c r="G116" t="s">
        <v>1582</v>
      </c>
      <c r="H116" t="s">
        <v>1578</v>
      </c>
      <c r="I116" t="str">
        <f>IF(COUNTIF(Old_Patient_Records!$A$2:$A$549,Table4[[#This Row],[Patient_ID]])=0,"Orphan","Valid")</f>
        <v>Valid</v>
      </c>
    </row>
    <row r="117" spans="1:9" x14ac:dyDescent="0.35">
      <c r="A117" t="s">
        <v>1811</v>
      </c>
      <c r="B117" t="s">
        <v>706</v>
      </c>
      <c r="C117" t="s">
        <v>1585</v>
      </c>
      <c r="D117" t="s">
        <v>1812</v>
      </c>
      <c r="E117">
        <v>119</v>
      </c>
      <c r="F117" t="s">
        <v>1587</v>
      </c>
      <c r="G117" t="s">
        <v>1588</v>
      </c>
      <c r="I117" t="str">
        <f>IF(COUNTIF(Old_Patient_Records!$A$2:$A$549,Table4[[#This Row],[Patient_ID]])=0,"Orphan","Valid")</f>
        <v>Valid</v>
      </c>
    </row>
    <row r="118" spans="1:9" x14ac:dyDescent="0.35">
      <c r="A118" t="s">
        <v>1813</v>
      </c>
      <c r="B118" t="s">
        <v>263</v>
      </c>
      <c r="C118" t="s">
        <v>1614</v>
      </c>
      <c r="D118" t="s">
        <v>1814</v>
      </c>
      <c r="E118">
        <v>238.5</v>
      </c>
      <c r="F118" t="s">
        <v>1616</v>
      </c>
      <c r="G118" t="s">
        <v>1617</v>
      </c>
      <c r="H118" t="s">
        <v>1567</v>
      </c>
      <c r="I118" t="str">
        <f>IF(COUNTIF(Old_Patient_Records!$A$2:$A$549,Table4[[#This Row],[Patient_ID]])=0,"Orphan","Valid")</f>
        <v>Valid</v>
      </c>
    </row>
    <row r="119" spans="1:9" x14ac:dyDescent="0.35">
      <c r="A119" t="s">
        <v>1815</v>
      </c>
      <c r="B119" t="s">
        <v>492</v>
      </c>
      <c r="C119" t="s">
        <v>1563</v>
      </c>
      <c r="D119" t="s">
        <v>1816</v>
      </c>
      <c r="E119">
        <v>20.6</v>
      </c>
      <c r="F119" t="s">
        <v>1565</v>
      </c>
      <c r="G119" t="s">
        <v>1566</v>
      </c>
      <c r="H119" t="s">
        <v>1573</v>
      </c>
      <c r="I119" t="str">
        <f>IF(COUNTIF(Old_Patient_Records!$A$2:$A$549,Table4[[#This Row],[Patient_ID]])=0,"Orphan","Valid")</f>
        <v>Valid</v>
      </c>
    </row>
    <row r="120" spans="1:9" x14ac:dyDescent="0.35">
      <c r="A120" t="s">
        <v>1817</v>
      </c>
      <c r="B120" t="s">
        <v>1818</v>
      </c>
      <c r="C120" t="s">
        <v>1585</v>
      </c>
      <c r="D120" t="s">
        <v>1819</v>
      </c>
      <c r="E120">
        <v>151.4</v>
      </c>
      <c r="F120" t="s">
        <v>1587</v>
      </c>
      <c r="G120" t="s">
        <v>1588</v>
      </c>
      <c r="H120" t="s">
        <v>1578</v>
      </c>
      <c r="I120" t="str">
        <f>IF(COUNTIF(Old_Patient_Records!$A$2:$A$549,Table4[[#This Row],[Patient_ID]])=0,"Orphan","Valid")</f>
        <v>Orphan</v>
      </c>
    </row>
    <row r="121" spans="1:9" x14ac:dyDescent="0.35">
      <c r="A121" t="s">
        <v>1820</v>
      </c>
      <c r="B121" t="s">
        <v>908</v>
      </c>
      <c r="C121" t="s">
        <v>1585</v>
      </c>
      <c r="D121" t="s">
        <v>1821</v>
      </c>
      <c r="E121">
        <v>86</v>
      </c>
      <c r="F121" t="s">
        <v>1587</v>
      </c>
      <c r="G121" t="s">
        <v>1588</v>
      </c>
      <c r="H121" t="s">
        <v>1589</v>
      </c>
      <c r="I121" t="str">
        <f>IF(COUNTIF(Old_Patient_Records!$A$2:$A$549,Table4[[#This Row],[Patient_ID]])=0,"Orphan","Valid")</f>
        <v>Valid</v>
      </c>
    </row>
    <row r="122" spans="1:9" x14ac:dyDescent="0.35">
      <c r="A122" t="s">
        <v>1822</v>
      </c>
      <c r="B122" t="s">
        <v>934</v>
      </c>
      <c r="C122" t="s">
        <v>1591</v>
      </c>
      <c r="D122" t="s">
        <v>1823</v>
      </c>
      <c r="E122">
        <v>216.4</v>
      </c>
      <c r="F122" t="s">
        <v>1593</v>
      </c>
      <c r="G122" t="s">
        <v>1594</v>
      </c>
      <c r="H122" t="s">
        <v>1659</v>
      </c>
      <c r="I122" t="str">
        <f>IF(COUNTIF(Old_Patient_Records!$A$2:$A$549,Table4[[#This Row],[Patient_ID]])=0,"Orphan","Valid")</f>
        <v>Valid</v>
      </c>
    </row>
    <row r="123" spans="1:9" x14ac:dyDescent="0.35">
      <c r="A123" t="s">
        <v>1824</v>
      </c>
      <c r="B123" t="s">
        <v>278</v>
      </c>
      <c r="C123" t="s">
        <v>1591</v>
      </c>
      <c r="D123" t="s">
        <v>1825</v>
      </c>
      <c r="E123">
        <v>155.4</v>
      </c>
      <c r="F123" t="s">
        <v>1593</v>
      </c>
      <c r="G123" t="s">
        <v>1594</v>
      </c>
      <c r="H123" t="s">
        <v>1578</v>
      </c>
      <c r="I123" t="str">
        <f>IF(COUNTIF(Old_Patient_Records!$A$2:$A$549,Table4[[#This Row],[Patient_ID]])=0,"Orphan","Valid")</f>
        <v>Valid</v>
      </c>
    </row>
    <row r="124" spans="1:9" x14ac:dyDescent="0.35">
      <c r="A124" t="s">
        <v>1826</v>
      </c>
      <c r="B124" t="s">
        <v>579</v>
      </c>
      <c r="C124" t="s">
        <v>1569</v>
      </c>
      <c r="D124" t="s">
        <v>1827</v>
      </c>
      <c r="F124" t="s">
        <v>1571</v>
      </c>
      <c r="G124" t="s">
        <v>1572</v>
      </c>
      <c r="H124" t="s">
        <v>1608</v>
      </c>
      <c r="I124" t="str">
        <f>IF(COUNTIF(Old_Patient_Records!$A$2:$A$549,Table4[[#This Row],[Patient_ID]])=0,"Orphan","Valid")</f>
        <v>Valid</v>
      </c>
    </row>
    <row r="125" spans="1:9" x14ac:dyDescent="0.35">
      <c r="A125" t="s">
        <v>1828</v>
      </c>
      <c r="B125" t="s">
        <v>1165</v>
      </c>
      <c r="C125" t="s">
        <v>1563</v>
      </c>
      <c r="D125" t="s">
        <v>1829</v>
      </c>
      <c r="E125">
        <v>145.6</v>
      </c>
      <c r="F125" t="s">
        <v>1565</v>
      </c>
      <c r="G125" t="s">
        <v>1566</v>
      </c>
      <c r="H125" t="s">
        <v>1644</v>
      </c>
      <c r="I125" t="str">
        <f>IF(COUNTIF(Old_Patient_Records!$A$2:$A$549,Table4[[#This Row],[Patient_ID]])=0,"Orphan","Valid")</f>
        <v>Valid</v>
      </c>
    </row>
    <row r="126" spans="1:9" x14ac:dyDescent="0.35">
      <c r="A126" t="s">
        <v>1830</v>
      </c>
      <c r="B126" t="s">
        <v>1009</v>
      </c>
      <c r="C126" t="s">
        <v>1585</v>
      </c>
      <c r="D126" t="s">
        <v>1831</v>
      </c>
      <c r="E126">
        <v>49.8</v>
      </c>
      <c r="F126" t="s">
        <v>1587</v>
      </c>
      <c r="G126" t="s">
        <v>1588</v>
      </c>
      <c r="H126" t="s">
        <v>1644</v>
      </c>
      <c r="I126" t="str">
        <f>IF(COUNTIF(Old_Patient_Records!$A$2:$A$549,Table4[[#This Row],[Patient_ID]])=0,"Orphan","Valid")</f>
        <v>Valid</v>
      </c>
    </row>
    <row r="127" spans="1:9" x14ac:dyDescent="0.35">
      <c r="A127" t="s">
        <v>1832</v>
      </c>
      <c r="B127" t="s">
        <v>593</v>
      </c>
      <c r="C127" t="s">
        <v>1563</v>
      </c>
      <c r="D127" t="s">
        <v>1833</v>
      </c>
      <c r="E127">
        <v>68.8</v>
      </c>
      <c r="F127" t="s">
        <v>1565</v>
      </c>
      <c r="G127" t="s">
        <v>1566</v>
      </c>
      <c r="H127" t="s">
        <v>1608</v>
      </c>
      <c r="I127" t="str">
        <f>IF(COUNTIF(Old_Patient_Records!$A$2:$A$549,Table4[[#This Row],[Patient_ID]])=0,"Orphan","Valid")</f>
        <v>Valid</v>
      </c>
    </row>
    <row r="128" spans="1:9" x14ac:dyDescent="0.35">
      <c r="A128" t="s">
        <v>1834</v>
      </c>
      <c r="B128" t="s">
        <v>341</v>
      </c>
      <c r="C128" t="s">
        <v>1563</v>
      </c>
      <c r="D128" t="s">
        <v>1835</v>
      </c>
      <c r="F128" t="s">
        <v>1565</v>
      </c>
      <c r="G128" t="s">
        <v>1566</v>
      </c>
      <c r="H128" t="s">
        <v>1567</v>
      </c>
      <c r="I128" t="str">
        <f>IF(COUNTIF(Old_Patient_Records!$A$2:$A$549,Table4[[#This Row],[Patient_ID]])=0,"Orphan","Valid")</f>
        <v>Valid</v>
      </c>
    </row>
    <row r="129" spans="1:9" x14ac:dyDescent="0.35">
      <c r="A129" t="s">
        <v>1836</v>
      </c>
      <c r="B129" t="s">
        <v>548</v>
      </c>
      <c r="C129" t="s">
        <v>1585</v>
      </c>
      <c r="D129" t="s">
        <v>1837</v>
      </c>
      <c r="E129">
        <v>5.4</v>
      </c>
      <c r="F129" t="s">
        <v>1587</v>
      </c>
      <c r="G129" t="s">
        <v>1588</v>
      </c>
      <c r="H129" t="s">
        <v>1659</v>
      </c>
      <c r="I129" t="str">
        <f>IF(COUNTIF(Old_Patient_Records!$A$2:$A$549,Table4[[#This Row],[Patient_ID]])=0,"Orphan","Valid")</f>
        <v>Valid</v>
      </c>
    </row>
    <row r="130" spans="1:9" x14ac:dyDescent="0.35">
      <c r="A130" t="s">
        <v>1838</v>
      </c>
      <c r="B130" t="s">
        <v>1090</v>
      </c>
      <c r="C130" t="s">
        <v>1614</v>
      </c>
      <c r="D130" t="s">
        <v>1839</v>
      </c>
      <c r="E130">
        <v>215.5</v>
      </c>
      <c r="F130" t="s">
        <v>1616</v>
      </c>
      <c r="G130" t="s">
        <v>1617</v>
      </c>
      <c r="I130" t="str">
        <f>IF(COUNTIF(Old_Patient_Records!$A$2:$A$549,Table4[[#This Row],[Patient_ID]])=0,"Orphan","Valid")</f>
        <v>Valid</v>
      </c>
    </row>
    <row r="131" spans="1:9" x14ac:dyDescent="0.35">
      <c r="A131" t="s">
        <v>1840</v>
      </c>
      <c r="B131" t="s">
        <v>1015</v>
      </c>
      <c r="C131" t="s">
        <v>1569</v>
      </c>
      <c r="D131" t="s">
        <v>1841</v>
      </c>
      <c r="E131">
        <v>28.8</v>
      </c>
      <c r="F131" t="s">
        <v>1571</v>
      </c>
      <c r="G131" t="s">
        <v>1572</v>
      </c>
      <c r="H131" t="s">
        <v>1659</v>
      </c>
      <c r="I131" t="str">
        <f>IF(COUNTIF(Old_Patient_Records!$A$2:$A$549,Table4[[#This Row],[Patient_ID]])=0,"Orphan","Valid")</f>
        <v>Valid</v>
      </c>
    </row>
    <row r="132" spans="1:9" x14ac:dyDescent="0.35">
      <c r="A132" t="s">
        <v>1842</v>
      </c>
      <c r="B132" t="s">
        <v>1260</v>
      </c>
      <c r="C132" t="s">
        <v>1591</v>
      </c>
      <c r="D132" t="s">
        <v>1701</v>
      </c>
      <c r="E132">
        <v>178.1</v>
      </c>
      <c r="F132" t="s">
        <v>1593</v>
      </c>
      <c r="G132" t="s">
        <v>1594</v>
      </c>
      <c r="H132" t="s">
        <v>1589</v>
      </c>
      <c r="I132" t="str">
        <f>IF(COUNTIF(Old_Patient_Records!$A$2:$A$549,Table4[[#This Row],[Patient_ID]])=0,"Orphan","Valid")</f>
        <v>Valid</v>
      </c>
    </row>
    <row r="133" spans="1:9" x14ac:dyDescent="0.35">
      <c r="A133" t="s">
        <v>1843</v>
      </c>
      <c r="B133" t="s">
        <v>1844</v>
      </c>
      <c r="C133" t="s">
        <v>1614</v>
      </c>
      <c r="D133" t="s">
        <v>1845</v>
      </c>
      <c r="E133">
        <v>14.5</v>
      </c>
      <c r="F133" t="s">
        <v>1616</v>
      </c>
      <c r="G133" t="s">
        <v>1617</v>
      </c>
      <c r="H133" t="s">
        <v>1573</v>
      </c>
      <c r="I133" t="str">
        <f>IF(COUNTIF(Old_Patient_Records!$A$2:$A$549,Table4[[#This Row],[Patient_ID]])=0,"Orphan","Valid")</f>
        <v>Orphan</v>
      </c>
    </row>
    <row r="134" spans="1:9" x14ac:dyDescent="0.35">
      <c r="A134" t="s">
        <v>1846</v>
      </c>
      <c r="B134" t="s">
        <v>582</v>
      </c>
      <c r="C134" t="s">
        <v>1580</v>
      </c>
      <c r="D134" t="s">
        <v>1847</v>
      </c>
      <c r="E134">
        <v>149.6</v>
      </c>
      <c r="F134" t="s">
        <v>1571</v>
      </c>
      <c r="G134" t="s">
        <v>1582</v>
      </c>
      <c r="H134" t="s">
        <v>1578</v>
      </c>
      <c r="I134" t="str">
        <f>IF(COUNTIF(Old_Patient_Records!$A$2:$A$549,Table4[[#This Row],[Patient_ID]])=0,"Orphan","Valid")</f>
        <v>Valid</v>
      </c>
    </row>
    <row r="135" spans="1:9" x14ac:dyDescent="0.35">
      <c r="A135" t="s">
        <v>1848</v>
      </c>
      <c r="B135" t="s">
        <v>993</v>
      </c>
      <c r="C135" t="s">
        <v>1591</v>
      </c>
      <c r="D135" t="s">
        <v>1849</v>
      </c>
      <c r="E135">
        <v>234.8</v>
      </c>
      <c r="F135" t="s">
        <v>1593</v>
      </c>
      <c r="G135" t="s">
        <v>1594</v>
      </c>
      <c r="H135" t="s">
        <v>1608</v>
      </c>
      <c r="I135" t="str">
        <f>IF(COUNTIF(Old_Patient_Records!$A$2:$A$549,Table4[[#This Row],[Patient_ID]])=0,"Orphan","Valid")</f>
        <v>Valid</v>
      </c>
    </row>
    <row r="136" spans="1:9" x14ac:dyDescent="0.35">
      <c r="A136" t="s">
        <v>1850</v>
      </c>
      <c r="B136" t="s">
        <v>996</v>
      </c>
      <c r="C136" t="s">
        <v>1585</v>
      </c>
      <c r="D136" t="s">
        <v>1851</v>
      </c>
      <c r="E136">
        <v>65.3</v>
      </c>
      <c r="F136" t="s">
        <v>1587</v>
      </c>
      <c r="G136" t="s">
        <v>1588</v>
      </c>
      <c r="H136" t="s">
        <v>1644</v>
      </c>
      <c r="I136" t="str">
        <f>IF(COUNTIF(Old_Patient_Records!$A$2:$A$549,Table4[[#This Row],[Patient_ID]])=0,"Orphan","Valid")</f>
        <v>Valid</v>
      </c>
    </row>
    <row r="137" spans="1:9" x14ac:dyDescent="0.35">
      <c r="A137" t="s">
        <v>1852</v>
      </c>
      <c r="B137" t="s">
        <v>1362</v>
      </c>
      <c r="C137" t="s">
        <v>1580</v>
      </c>
      <c r="D137" t="s">
        <v>1853</v>
      </c>
      <c r="E137">
        <v>203.7</v>
      </c>
      <c r="F137" t="s">
        <v>1571</v>
      </c>
      <c r="G137" t="s">
        <v>1582</v>
      </c>
      <c r="H137" t="s">
        <v>1608</v>
      </c>
      <c r="I137" t="str">
        <f>IF(COUNTIF(Old_Patient_Records!$A$2:$A$549,Table4[[#This Row],[Patient_ID]])=0,"Orphan","Valid")</f>
        <v>Valid</v>
      </c>
    </row>
    <row r="138" spans="1:9" x14ac:dyDescent="0.35">
      <c r="A138" t="s">
        <v>1854</v>
      </c>
      <c r="B138" t="s">
        <v>1480</v>
      </c>
      <c r="C138" t="s">
        <v>1585</v>
      </c>
      <c r="D138" t="s">
        <v>1855</v>
      </c>
      <c r="E138">
        <v>142.9</v>
      </c>
      <c r="F138" t="s">
        <v>1587</v>
      </c>
      <c r="G138" t="s">
        <v>1588</v>
      </c>
      <c r="H138" t="s">
        <v>1583</v>
      </c>
      <c r="I138" t="str">
        <f>IF(COUNTIF(Old_Patient_Records!$A$2:$A$549,Table4[[#This Row],[Patient_ID]])=0,"Orphan","Valid")</f>
        <v>Valid</v>
      </c>
    </row>
    <row r="139" spans="1:9" x14ac:dyDescent="0.35">
      <c r="A139" t="s">
        <v>1856</v>
      </c>
      <c r="B139" t="s">
        <v>951</v>
      </c>
      <c r="C139" t="s">
        <v>1585</v>
      </c>
      <c r="D139" t="s">
        <v>1857</v>
      </c>
      <c r="E139">
        <v>38.200000000000003</v>
      </c>
      <c r="F139" t="s">
        <v>1587</v>
      </c>
      <c r="G139" t="s">
        <v>1588</v>
      </c>
      <c r="H139" t="s">
        <v>1644</v>
      </c>
      <c r="I139" t="str">
        <f>IF(COUNTIF(Old_Patient_Records!$A$2:$A$549,Table4[[#This Row],[Patient_ID]])=0,"Orphan","Valid")</f>
        <v>Valid</v>
      </c>
    </row>
    <row r="140" spans="1:9" x14ac:dyDescent="0.35">
      <c r="A140" t="s">
        <v>1858</v>
      </c>
      <c r="B140" t="s">
        <v>313</v>
      </c>
      <c r="C140" t="s">
        <v>1614</v>
      </c>
      <c r="D140" t="s">
        <v>1859</v>
      </c>
      <c r="E140">
        <v>125.2</v>
      </c>
      <c r="F140" t="s">
        <v>1616</v>
      </c>
      <c r="G140" t="s">
        <v>1617</v>
      </c>
      <c r="I140" t="str">
        <f>IF(COUNTIF(Old_Patient_Records!$A$2:$A$549,Table4[[#This Row],[Patient_ID]])=0,"Orphan","Valid")</f>
        <v>Valid</v>
      </c>
    </row>
    <row r="141" spans="1:9" x14ac:dyDescent="0.35">
      <c r="A141" t="s">
        <v>1860</v>
      </c>
      <c r="B141" t="s">
        <v>1407</v>
      </c>
      <c r="C141" t="s">
        <v>1591</v>
      </c>
      <c r="D141" t="s">
        <v>1861</v>
      </c>
      <c r="E141">
        <v>248.1</v>
      </c>
      <c r="F141" t="s">
        <v>1593</v>
      </c>
      <c r="G141" t="s">
        <v>1594</v>
      </c>
      <c r="H141" t="s">
        <v>1567</v>
      </c>
      <c r="I141" t="str">
        <f>IF(COUNTIF(Old_Patient_Records!$A$2:$A$549,Table4[[#This Row],[Patient_ID]])=0,"Orphan","Valid")</f>
        <v>Valid</v>
      </c>
    </row>
    <row r="142" spans="1:9" x14ac:dyDescent="0.35">
      <c r="A142" t="s">
        <v>1862</v>
      </c>
      <c r="B142" t="s">
        <v>915</v>
      </c>
      <c r="C142" t="s">
        <v>1569</v>
      </c>
      <c r="D142" t="s">
        <v>1863</v>
      </c>
      <c r="E142">
        <v>223.6</v>
      </c>
      <c r="F142" t="s">
        <v>1571</v>
      </c>
      <c r="G142" t="s">
        <v>1572</v>
      </c>
      <c r="H142" t="s">
        <v>1659</v>
      </c>
      <c r="I142" t="str">
        <f>IF(COUNTIF(Old_Patient_Records!$A$2:$A$549,Table4[[#This Row],[Patient_ID]])=0,"Orphan","Valid")</f>
        <v>Valid</v>
      </c>
    </row>
    <row r="143" spans="1:9" x14ac:dyDescent="0.35">
      <c r="A143" t="s">
        <v>1864</v>
      </c>
      <c r="B143" t="s">
        <v>148</v>
      </c>
      <c r="C143" t="s">
        <v>1585</v>
      </c>
      <c r="D143" t="s">
        <v>1865</v>
      </c>
      <c r="E143">
        <v>16.600000000000001</v>
      </c>
      <c r="F143" t="s">
        <v>1587</v>
      </c>
      <c r="G143" t="s">
        <v>1588</v>
      </c>
      <c r="H143" t="s">
        <v>1583</v>
      </c>
      <c r="I143" t="str">
        <f>IF(COUNTIF(Old_Patient_Records!$A$2:$A$549,Table4[[#This Row],[Patient_ID]])=0,"Orphan","Valid")</f>
        <v>Valid</v>
      </c>
    </row>
    <row r="144" spans="1:9" x14ac:dyDescent="0.35">
      <c r="A144" t="s">
        <v>1866</v>
      </c>
      <c r="B144" t="s">
        <v>1245</v>
      </c>
      <c r="C144" t="s">
        <v>1580</v>
      </c>
      <c r="D144" t="s">
        <v>1867</v>
      </c>
      <c r="E144">
        <v>185.9</v>
      </c>
      <c r="F144" t="s">
        <v>1571</v>
      </c>
      <c r="G144" t="s">
        <v>1582</v>
      </c>
      <c r="H144" t="s">
        <v>1659</v>
      </c>
      <c r="I144" t="str">
        <f>IF(COUNTIF(Old_Patient_Records!$A$2:$A$549,Table4[[#This Row],[Patient_ID]])=0,"Orphan","Valid")</f>
        <v>Valid</v>
      </c>
    </row>
    <row r="145" spans="1:9" x14ac:dyDescent="0.35">
      <c r="A145" t="s">
        <v>1868</v>
      </c>
      <c r="B145" t="s">
        <v>680</v>
      </c>
      <c r="C145" t="s">
        <v>1585</v>
      </c>
      <c r="D145" t="s">
        <v>1869</v>
      </c>
      <c r="E145">
        <v>29.2</v>
      </c>
      <c r="F145" t="s">
        <v>1587</v>
      </c>
      <c r="G145" t="s">
        <v>1588</v>
      </c>
      <c r="H145" t="s">
        <v>1659</v>
      </c>
      <c r="I145" t="str">
        <f>IF(COUNTIF(Old_Patient_Records!$A$2:$A$549,Table4[[#This Row],[Patient_ID]])=0,"Orphan","Valid")</f>
        <v>Valid</v>
      </c>
    </row>
    <row r="146" spans="1:9" x14ac:dyDescent="0.35">
      <c r="A146" t="s">
        <v>1870</v>
      </c>
      <c r="B146" t="s">
        <v>1403</v>
      </c>
      <c r="C146" t="s">
        <v>1580</v>
      </c>
      <c r="D146" t="s">
        <v>1871</v>
      </c>
      <c r="E146">
        <v>55.7</v>
      </c>
      <c r="F146" t="s">
        <v>1571</v>
      </c>
      <c r="G146" t="s">
        <v>1582</v>
      </c>
      <c r="H146" t="s">
        <v>1644</v>
      </c>
      <c r="I146" t="str">
        <f>IF(COUNTIF(Old_Patient_Records!$A$2:$A$549,Table4[[#This Row],[Patient_ID]])=0,"Orphan","Valid")</f>
        <v>Valid</v>
      </c>
    </row>
    <row r="147" spans="1:9" x14ac:dyDescent="0.35">
      <c r="A147" t="s">
        <v>1872</v>
      </c>
      <c r="B147" t="s">
        <v>405</v>
      </c>
      <c r="C147" t="s">
        <v>1569</v>
      </c>
      <c r="D147" t="s">
        <v>1873</v>
      </c>
      <c r="F147" t="s">
        <v>1571</v>
      </c>
      <c r="G147" t="s">
        <v>1572</v>
      </c>
      <c r="H147" t="s">
        <v>1659</v>
      </c>
      <c r="I147" t="str">
        <f>IF(COUNTIF(Old_Patient_Records!$A$2:$A$549,Table4[[#This Row],[Patient_ID]])=0,"Orphan","Valid")</f>
        <v>Valid</v>
      </c>
    </row>
    <row r="148" spans="1:9" x14ac:dyDescent="0.35">
      <c r="A148" t="s">
        <v>1874</v>
      </c>
      <c r="B148" t="s">
        <v>715</v>
      </c>
      <c r="C148" t="s">
        <v>1569</v>
      </c>
      <c r="D148" t="s">
        <v>1875</v>
      </c>
      <c r="E148">
        <v>96.1</v>
      </c>
      <c r="F148" t="s">
        <v>1571</v>
      </c>
      <c r="G148" t="s">
        <v>1572</v>
      </c>
      <c r="H148" t="s">
        <v>1589</v>
      </c>
      <c r="I148" t="str">
        <f>IF(COUNTIF(Old_Patient_Records!$A$2:$A$549,Table4[[#This Row],[Patient_ID]])=0,"Orphan","Valid")</f>
        <v>Valid</v>
      </c>
    </row>
    <row r="149" spans="1:9" x14ac:dyDescent="0.35">
      <c r="A149" t="s">
        <v>1876</v>
      </c>
      <c r="B149" t="s">
        <v>793</v>
      </c>
      <c r="C149" t="s">
        <v>1591</v>
      </c>
      <c r="D149" t="s">
        <v>1877</v>
      </c>
      <c r="E149">
        <v>221.1</v>
      </c>
      <c r="F149" t="s">
        <v>1593</v>
      </c>
      <c r="G149" t="s">
        <v>1594</v>
      </c>
      <c r="H149" t="s">
        <v>1573</v>
      </c>
      <c r="I149" t="str">
        <f>IF(COUNTIF(Old_Patient_Records!$A$2:$A$549,Table4[[#This Row],[Patient_ID]])=0,"Orphan","Valid")</f>
        <v>Valid</v>
      </c>
    </row>
    <row r="150" spans="1:9" x14ac:dyDescent="0.35">
      <c r="A150" t="s">
        <v>1878</v>
      </c>
      <c r="B150" t="s">
        <v>1197</v>
      </c>
      <c r="C150" t="s">
        <v>1614</v>
      </c>
      <c r="D150" t="s">
        <v>1879</v>
      </c>
      <c r="E150">
        <v>206.8</v>
      </c>
      <c r="F150" t="s">
        <v>1616</v>
      </c>
      <c r="G150" t="s">
        <v>1617</v>
      </c>
      <c r="H150" t="s">
        <v>1573</v>
      </c>
      <c r="I150" t="str">
        <f>IF(COUNTIF(Old_Patient_Records!$A$2:$A$549,Table4[[#This Row],[Patient_ID]])=0,"Orphan","Valid")</f>
        <v>Valid</v>
      </c>
    </row>
    <row r="151" spans="1:9" x14ac:dyDescent="0.35">
      <c r="A151" t="s">
        <v>1880</v>
      </c>
      <c r="B151" t="s">
        <v>1881</v>
      </c>
      <c r="C151" t="s">
        <v>1591</v>
      </c>
      <c r="D151" t="s">
        <v>1882</v>
      </c>
      <c r="E151">
        <v>174.7</v>
      </c>
      <c r="F151" t="s">
        <v>1593</v>
      </c>
      <c r="G151" t="s">
        <v>1594</v>
      </c>
      <c r="H151" t="s">
        <v>1578</v>
      </c>
      <c r="I151" t="str">
        <f>IF(COUNTIF(Old_Patient_Records!$A$2:$A$549,Table4[[#This Row],[Patient_ID]])=0,"Orphan","Valid")</f>
        <v>Orphan</v>
      </c>
    </row>
    <row r="152" spans="1:9" x14ac:dyDescent="0.35">
      <c r="A152" t="s">
        <v>1883</v>
      </c>
      <c r="B152" t="s">
        <v>402</v>
      </c>
      <c r="C152" t="s">
        <v>1580</v>
      </c>
      <c r="D152" t="s">
        <v>1884</v>
      </c>
      <c r="E152">
        <v>43.9</v>
      </c>
      <c r="F152" t="s">
        <v>1571</v>
      </c>
      <c r="G152" t="s">
        <v>1582</v>
      </c>
      <c r="H152" t="s">
        <v>1583</v>
      </c>
      <c r="I152" t="str">
        <f>IF(COUNTIF(Old_Patient_Records!$A$2:$A$549,Table4[[#This Row],[Patient_ID]])=0,"Orphan","Valid")</f>
        <v>Valid</v>
      </c>
    </row>
    <row r="153" spans="1:9" x14ac:dyDescent="0.35">
      <c r="A153" t="s">
        <v>1885</v>
      </c>
      <c r="B153" t="s">
        <v>787</v>
      </c>
      <c r="C153" t="s">
        <v>1563</v>
      </c>
      <c r="D153" t="s">
        <v>1886</v>
      </c>
      <c r="E153">
        <v>239.1</v>
      </c>
      <c r="F153" t="s">
        <v>1565</v>
      </c>
      <c r="G153" t="s">
        <v>1566</v>
      </c>
      <c r="H153" t="s">
        <v>1583</v>
      </c>
      <c r="I153" t="str">
        <f>IF(COUNTIF(Old_Patient_Records!$A$2:$A$549,Table4[[#This Row],[Patient_ID]])=0,"Orphan","Valid")</f>
        <v>Valid</v>
      </c>
    </row>
    <row r="154" spans="1:9" x14ac:dyDescent="0.35">
      <c r="A154" t="s">
        <v>1887</v>
      </c>
      <c r="B154" t="s">
        <v>254</v>
      </c>
      <c r="C154" t="s">
        <v>1563</v>
      </c>
      <c r="D154" t="s">
        <v>1888</v>
      </c>
      <c r="E154">
        <v>31.6</v>
      </c>
      <c r="F154" t="s">
        <v>1565</v>
      </c>
      <c r="G154" t="s">
        <v>1566</v>
      </c>
      <c r="H154" t="s">
        <v>1583</v>
      </c>
      <c r="I154" t="str">
        <f>IF(COUNTIF(Old_Patient_Records!$A$2:$A$549,Table4[[#This Row],[Patient_ID]])=0,"Orphan","Valid")</f>
        <v>Valid</v>
      </c>
    </row>
    <row r="155" spans="1:9" x14ac:dyDescent="0.35">
      <c r="A155" t="s">
        <v>1889</v>
      </c>
      <c r="B155" t="s">
        <v>1462</v>
      </c>
      <c r="C155" t="s">
        <v>1614</v>
      </c>
      <c r="D155" t="s">
        <v>1890</v>
      </c>
      <c r="E155">
        <v>248.9</v>
      </c>
      <c r="F155" t="s">
        <v>1616</v>
      </c>
      <c r="G155" t="s">
        <v>1617</v>
      </c>
      <c r="H155" t="s">
        <v>1578</v>
      </c>
      <c r="I155" t="str">
        <f>IF(COUNTIF(Old_Patient_Records!$A$2:$A$549,Table4[[#This Row],[Patient_ID]])=0,"Orphan","Valid")</f>
        <v>Valid</v>
      </c>
    </row>
    <row r="156" spans="1:9" x14ac:dyDescent="0.35">
      <c r="A156" t="s">
        <v>1891</v>
      </c>
      <c r="B156" t="s">
        <v>593</v>
      </c>
      <c r="C156" t="s">
        <v>1580</v>
      </c>
      <c r="D156" t="s">
        <v>1892</v>
      </c>
      <c r="E156">
        <v>25.5</v>
      </c>
      <c r="F156" t="s">
        <v>1571</v>
      </c>
      <c r="G156" t="s">
        <v>1582</v>
      </c>
      <c r="H156" t="s">
        <v>1644</v>
      </c>
      <c r="I156" t="str">
        <f>IF(COUNTIF(Old_Patient_Records!$A$2:$A$549,Table4[[#This Row],[Patient_ID]])=0,"Orphan","Valid")</f>
        <v>Valid</v>
      </c>
    </row>
    <row r="157" spans="1:9" x14ac:dyDescent="0.35">
      <c r="A157" t="s">
        <v>1893</v>
      </c>
      <c r="B157" t="s">
        <v>478</v>
      </c>
      <c r="C157" t="s">
        <v>1591</v>
      </c>
      <c r="D157" t="s">
        <v>1894</v>
      </c>
      <c r="E157">
        <v>113.3</v>
      </c>
      <c r="F157" t="s">
        <v>1593</v>
      </c>
      <c r="G157" t="s">
        <v>1594</v>
      </c>
      <c r="H157" t="s">
        <v>1578</v>
      </c>
      <c r="I157" t="str">
        <f>IF(COUNTIF(Old_Patient_Records!$A$2:$A$549,Table4[[#This Row],[Patient_ID]])=0,"Orphan","Valid")</f>
        <v>Valid</v>
      </c>
    </row>
    <row r="158" spans="1:9" x14ac:dyDescent="0.35">
      <c r="A158" t="s">
        <v>1895</v>
      </c>
      <c r="B158" t="s">
        <v>92</v>
      </c>
      <c r="C158" t="s">
        <v>1585</v>
      </c>
      <c r="D158" t="s">
        <v>1896</v>
      </c>
      <c r="E158">
        <v>237.4</v>
      </c>
      <c r="F158" t="s">
        <v>1587</v>
      </c>
      <c r="G158" t="s">
        <v>1588</v>
      </c>
      <c r="H158" t="s">
        <v>1659</v>
      </c>
      <c r="I158" t="str">
        <f>IF(COUNTIF(Old_Patient_Records!$A$2:$A$549,Table4[[#This Row],[Patient_ID]])=0,"Orphan","Valid")</f>
        <v>Valid</v>
      </c>
    </row>
    <row r="159" spans="1:9" x14ac:dyDescent="0.35">
      <c r="A159" t="s">
        <v>1897</v>
      </c>
      <c r="B159" t="s">
        <v>237</v>
      </c>
      <c r="C159" t="s">
        <v>1614</v>
      </c>
      <c r="D159" t="s">
        <v>1898</v>
      </c>
      <c r="E159">
        <v>100.9</v>
      </c>
      <c r="F159" t="s">
        <v>1616</v>
      </c>
      <c r="G159" t="s">
        <v>1617</v>
      </c>
      <c r="H159" t="s">
        <v>1608</v>
      </c>
      <c r="I159" t="str">
        <f>IF(COUNTIF(Old_Patient_Records!$A$2:$A$549,Table4[[#This Row],[Patient_ID]])=0,"Orphan","Valid")</f>
        <v>Valid</v>
      </c>
    </row>
    <row r="160" spans="1:9" x14ac:dyDescent="0.35">
      <c r="A160" t="s">
        <v>1899</v>
      </c>
      <c r="B160" t="s">
        <v>623</v>
      </c>
      <c r="C160" t="s">
        <v>1569</v>
      </c>
      <c r="D160" t="s">
        <v>1900</v>
      </c>
      <c r="E160">
        <v>87.3</v>
      </c>
      <c r="F160" t="s">
        <v>1571</v>
      </c>
      <c r="G160" t="s">
        <v>1572</v>
      </c>
      <c r="H160" t="s">
        <v>1608</v>
      </c>
      <c r="I160" t="str">
        <f>IF(COUNTIF(Old_Patient_Records!$A$2:$A$549,Table4[[#This Row],[Patient_ID]])=0,"Orphan","Valid")</f>
        <v>Valid</v>
      </c>
    </row>
    <row r="161" spans="1:9" x14ac:dyDescent="0.35">
      <c r="A161" t="s">
        <v>1901</v>
      </c>
      <c r="B161" t="s">
        <v>864</v>
      </c>
      <c r="C161" t="s">
        <v>1569</v>
      </c>
      <c r="D161" t="s">
        <v>1902</v>
      </c>
      <c r="E161">
        <v>141.4</v>
      </c>
      <c r="F161" t="s">
        <v>1571</v>
      </c>
      <c r="G161" t="s">
        <v>1572</v>
      </c>
      <c r="H161" t="s">
        <v>1608</v>
      </c>
      <c r="I161" t="str">
        <f>IF(COUNTIF(Old_Patient_Records!$A$2:$A$549,Table4[[#This Row],[Patient_ID]])=0,"Orphan","Valid")</f>
        <v>Valid</v>
      </c>
    </row>
    <row r="162" spans="1:9" x14ac:dyDescent="0.35">
      <c r="A162" t="s">
        <v>1903</v>
      </c>
      <c r="B162" t="s">
        <v>1462</v>
      </c>
      <c r="C162" t="s">
        <v>1585</v>
      </c>
      <c r="D162" t="s">
        <v>63</v>
      </c>
      <c r="E162">
        <v>135.9</v>
      </c>
      <c r="F162" t="s">
        <v>1587</v>
      </c>
      <c r="G162" t="s">
        <v>1588</v>
      </c>
      <c r="H162" t="s">
        <v>1659</v>
      </c>
      <c r="I162" t="str">
        <f>IF(COUNTIF(Old_Patient_Records!$A$2:$A$549,Table4[[#This Row],[Patient_ID]])=0,"Orphan","Valid")</f>
        <v>Valid</v>
      </c>
    </row>
    <row r="163" spans="1:9" x14ac:dyDescent="0.35">
      <c r="A163" t="s">
        <v>1904</v>
      </c>
      <c r="B163" t="s">
        <v>1905</v>
      </c>
      <c r="C163" t="s">
        <v>1563</v>
      </c>
      <c r="D163" t="s">
        <v>1906</v>
      </c>
      <c r="E163">
        <v>225.9</v>
      </c>
      <c r="F163" t="s">
        <v>1565</v>
      </c>
      <c r="G163" t="s">
        <v>1566</v>
      </c>
      <c r="H163" t="s">
        <v>1567</v>
      </c>
      <c r="I163" t="str">
        <f>IF(COUNTIF(Old_Patient_Records!$A$2:$A$549,Table4[[#This Row],[Patient_ID]])=0,"Orphan","Valid")</f>
        <v>Orphan</v>
      </c>
    </row>
    <row r="164" spans="1:9" x14ac:dyDescent="0.35">
      <c r="A164" t="s">
        <v>1907</v>
      </c>
      <c r="B164" t="s">
        <v>1120</v>
      </c>
      <c r="C164" t="s">
        <v>1591</v>
      </c>
      <c r="D164" t="s">
        <v>1908</v>
      </c>
      <c r="E164">
        <v>193.3</v>
      </c>
      <c r="F164" t="s">
        <v>1593</v>
      </c>
      <c r="G164" t="s">
        <v>1594</v>
      </c>
      <c r="H164" t="s">
        <v>1567</v>
      </c>
      <c r="I164" t="str">
        <f>IF(COUNTIF(Old_Patient_Records!$A$2:$A$549,Table4[[#This Row],[Patient_ID]])=0,"Orphan","Valid")</f>
        <v>Valid</v>
      </c>
    </row>
    <row r="165" spans="1:9" x14ac:dyDescent="0.35">
      <c r="A165" t="s">
        <v>1909</v>
      </c>
      <c r="B165" t="s">
        <v>117</v>
      </c>
      <c r="C165" t="s">
        <v>1591</v>
      </c>
      <c r="D165" t="s">
        <v>1910</v>
      </c>
      <c r="E165">
        <v>164</v>
      </c>
      <c r="F165" t="s">
        <v>1593</v>
      </c>
      <c r="G165" t="s">
        <v>1594</v>
      </c>
      <c r="H165" t="s">
        <v>1644</v>
      </c>
      <c r="I165" t="str">
        <f>IF(COUNTIF(Old_Patient_Records!$A$2:$A$549,Table4[[#This Row],[Patient_ID]])=0,"Orphan","Valid")</f>
        <v>Valid</v>
      </c>
    </row>
    <row r="166" spans="1:9" x14ac:dyDescent="0.35">
      <c r="A166" t="s">
        <v>1911</v>
      </c>
      <c r="B166" t="s">
        <v>740</v>
      </c>
      <c r="C166" t="s">
        <v>1614</v>
      </c>
      <c r="D166" t="s">
        <v>1912</v>
      </c>
      <c r="E166">
        <v>172.3</v>
      </c>
      <c r="F166" t="s">
        <v>1616</v>
      </c>
      <c r="G166" t="s">
        <v>1617</v>
      </c>
      <c r="I166" t="str">
        <f>IF(COUNTIF(Old_Patient_Records!$A$2:$A$549,Table4[[#This Row],[Patient_ID]])=0,"Orphan","Valid")</f>
        <v>Valid</v>
      </c>
    </row>
    <row r="167" spans="1:9" x14ac:dyDescent="0.35">
      <c r="A167" t="s">
        <v>1913</v>
      </c>
      <c r="B167" t="s">
        <v>507</v>
      </c>
      <c r="C167" t="s">
        <v>1614</v>
      </c>
      <c r="D167" t="s">
        <v>1914</v>
      </c>
      <c r="E167">
        <v>116.3</v>
      </c>
      <c r="F167" t="s">
        <v>1616</v>
      </c>
      <c r="G167" t="s">
        <v>1617</v>
      </c>
      <c r="H167" t="s">
        <v>1573</v>
      </c>
      <c r="I167" t="str">
        <f>IF(COUNTIF(Old_Patient_Records!$A$2:$A$549,Table4[[#This Row],[Patient_ID]])=0,"Orphan","Valid")</f>
        <v>Valid</v>
      </c>
    </row>
    <row r="168" spans="1:9" x14ac:dyDescent="0.35">
      <c r="A168" t="s">
        <v>1915</v>
      </c>
      <c r="B168" t="s">
        <v>1123</v>
      </c>
      <c r="C168" t="s">
        <v>1585</v>
      </c>
      <c r="D168" t="s">
        <v>1916</v>
      </c>
      <c r="E168">
        <v>249.8</v>
      </c>
      <c r="F168" t="s">
        <v>1587</v>
      </c>
      <c r="G168" t="s">
        <v>1588</v>
      </c>
      <c r="H168" t="s">
        <v>1567</v>
      </c>
      <c r="I168" t="str">
        <f>IF(COUNTIF(Old_Patient_Records!$A$2:$A$549,Table4[[#This Row],[Patient_ID]])=0,"Orphan","Valid")</f>
        <v>Valid</v>
      </c>
    </row>
    <row r="169" spans="1:9" x14ac:dyDescent="0.35">
      <c r="A169" t="s">
        <v>1917</v>
      </c>
      <c r="B169" t="s">
        <v>481</v>
      </c>
      <c r="C169" t="s">
        <v>1614</v>
      </c>
      <c r="D169" t="s">
        <v>1918</v>
      </c>
      <c r="E169">
        <v>15.4</v>
      </c>
      <c r="F169" t="s">
        <v>1616</v>
      </c>
      <c r="G169" t="s">
        <v>1617</v>
      </c>
      <c r="H169" t="s">
        <v>1589</v>
      </c>
      <c r="I169" t="str">
        <f>IF(COUNTIF(Old_Patient_Records!$A$2:$A$549,Table4[[#This Row],[Patient_ID]])=0,"Orphan","Valid")</f>
        <v>Valid</v>
      </c>
    </row>
    <row r="170" spans="1:9" x14ac:dyDescent="0.35">
      <c r="A170" t="s">
        <v>1919</v>
      </c>
      <c r="B170" t="s">
        <v>1170</v>
      </c>
      <c r="C170" t="s">
        <v>1585</v>
      </c>
      <c r="D170" t="s">
        <v>1920</v>
      </c>
      <c r="E170">
        <v>108.2</v>
      </c>
      <c r="F170" t="s">
        <v>1587</v>
      </c>
      <c r="G170" t="s">
        <v>1588</v>
      </c>
      <c r="H170" t="s">
        <v>1644</v>
      </c>
      <c r="I170" t="str">
        <f>IF(COUNTIF(Old_Patient_Records!$A$2:$A$549,Table4[[#This Row],[Patient_ID]])=0,"Orphan","Valid")</f>
        <v>Valid</v>
      </c>
    </row>
    <row r="171" spans="1:9" x14ac:dyDescent="0.35">
      <c r="A171" t="s">
        <v>1921</v>
      </c>
      <c r="B171" t="s">
        <v>965</v>
      </c>
      <c r="C171" t="s">
        <v>1614</v>
      </c>
      <c r="D171" t="s">
        <v>1922</v>
      </c>
      <c r="E171">
        <v>168</v>
      </c>
      <c r="F171" t="s">
        <v>1616</v>
      </c>
      <c r="G171" t="s">
        <v>1617</v>
      </c>
      <c r="H171" t="s">
        <v>1578</v>
      </c>
      <c r="I171" t="str">
        <f>IF(COUNTIF(Old_Patient_Records!$A$2:$A$549,Table4[[#This Row],[Patient_ID]])=0,"Orphan","Valid")</f>
        <v>Valid</v>
      </c>
    </row>
    <row r="172" spans="1:9" x14ac:dyDescent="0.35">
      <c r="A172" t="s">
        <v>1923</v>
      </c>
      <c r="B172" t="s">
        <v>623</v>
      </c>
      <c r="C172" t="s">
        <v>1569</v>
      </c>
      <c r="D172" t="s">
        <v>1924</v>
      </c>
      <c r="E172">
        <v>237.3</v>
      </c>
      <c r="F172" t="s">
        <v>1571</v>
      </c>
      <c r="G172" t="s">
        <v>1572</v>
      </c>
      <c r="H172" t="s">
        <v>1583</v>
      </c>
      <c r="I172" t="str">
        <f>IF(COUNTIF(Old_Patient_Records!$A$2:$A$549,Table4[[#This Row],[Patient_ID]])=0,"Orphan","Valid")</f>
        <v>Valid</v>
      </c>
    </row>
    <row r="173" spans="1:9" x14ac:dyDescent="0.35">
      <c r="A173" t="s">
        <v>1925</v>
      </c>
      <c r="B173" t="s">
        <v>915</v>
      </c>
      <c r="C173" t="s">
        <v>1614</v>
      </c>
      <c r="D173" t="s">
        <v>1926</v>
      </c>
      <c r="E173">
        <v>57.3</v>
      </c>
      <c r="F173" t="s">
        <v>1616</v>
      </c>
      <c r="G173" t="s">
        <v>1617</v>
      </c>
      <c r="I173" t="str">
        <f>IF(COUNTIF(Old_Patient_Records!$A$2:$A$549,Table4[[#This Row],[Patient_ID]])=0,"Orphan","Valid")</f>
        <v>Valid</v>
      </c>
    </row>
    <row r="174" spans="1:9" x14ac:dyDescent="0.35">
      <c r="A174" t="s">
        <v>1927</v>
      </c>
      <c r="B174" t="s">
        <v>1188</v>
      </c>
      <c r="C174" t="s">
        <v>1563</v>
      </c>
      <c r="D174" t="s">
        <v>1928</v>
      </c>
      <c r="E174">
        <v>17.5</v>
      </c>
      <c r="F174" t="s">
        <v>1565</v>
      </c>
      <c r="G174" t="s">
        <v>1566</v>
      </c>
      <c r="H174" t="s">
        <v>1644</v>
      </c>
      <c r="I174" t="str">
        <f>IF(COUNTIF(Old_Patient_Records!$A$2:$A$549,Table4[[#This Row],[Patient_ID]])=0,"Orphan","Valid")</f>
        <v>Valid</v>
      </c>
    </row>
    <row r="175" spans="1:9" x14ac:dyDescent="0.35">
      <c r="A175" t="s">
        <v>1929</v>
      </c>
      <c r="B175" t="s">
        <v>1265</v>
      </c>
      <c r="C175" t="s">
        <v>1591</v>
      </c>
      <c r="D175" t="s">
        <v>1930</v>
      </c>
      <c r="E175">
        <v>10.8</v>
      </c>
      <c r="F175" t="s">
        <v>1593</v>
      </c>
      <c r="G175" t="s">
        <v>1594</v>
      </c>
      <c r="H175" t="s">
        <v>1589</v>
      </c>
      <c r="I175" t="str">
        <f>IF(COUNTIF(Old_Patient_Records!$A$2:$A$549,Table4[[#This Row],[Patient_ID]])=0,"Orphan","Valid")</f>
        <v>Valid</v>
      </c>
    </row>
    <row r="176" spans="1:9" x14ac:dyDescent="0.35">
      <c r="A176" t="s">
        <v>1931</v>
      </c>
      <c r="B176" t="s">
        <v>632</v>
      </c>
      <c r="C176" t="s">
        <v>1585</v>
      </c>
      <c r="D176" t="s">
        <v>1932</v>
      </c>
      <c r="E176">
        <v>41.9</v>
      </c>
      <c r="F176" t="s">
        <v>1587</v>
      </c>
      <c r="G176" t="s">
        <v>1588</v>
      </c>
      <c r="H176" t="s">
        <v>1589</v>
      </c>
      <c r="I176" t="str">
        <f>IF(COUNTIF(Old_Patient_Records!$A$2:$A$549,Table4[[#This Row],[Patient_ID]])=0,"Orphan","Valid")</f>
        <v>Valid</v>
      </c>
    </row>
    <row r="177" spans="1:9" x14ac:dyDescent="0.35">
      <c r="A177" t="s">
        <v>1933</v>
      </c>
      <c r="B177" t="s">
        <v>1489</v>
      </c>
      <c r="C177" t="s">
        <v>1614</v>
      </c>
      <c r="D177" t="s">
        <v>1934</v>
      </c>
      <c r="E177">
        <v>185.2</v>
      </c>
      <c r="F177" t="s">
        <v>1616</v>
      </c>
      <c r="G177" t="s">
        <v>1617</v>
      </c>
      <c r="H177" t="s">
        <v>1608</v>
      </c>
      <c r="I177" t="str">
        <f>IF(COUNTIF(Old_Patient_Records!$A$2:$A$549,Table4[[#This Row],[Patient_ID]])=0,"Orphan","Valid")</f>
        <v>Valid</v>
      </c>
    </row>
    <row r="178" spans="1:9" x14ac:dyDescent="0.35">
      <c r="A178" t="s">
        <v>1935</v>
      </c>
      <c r="B178" t="s">
        <v>1936</v>
      </c>
      <c r="C178" t="s">
        <v>1580</v>
      </c>
      <c r="D178" t="s">
        <v>1937</v>
      </c>
      <c r="E178">
        <v>216.3</v>
      </c>
      <c r="F178" t="s">
        <v>1571</v>
      </c>
      <c r="G178" t="s">
        <v>1582</v>
      </c>
      <c r="H178" t="s">
        <v>1659</v>
      </c>
      <c r="I178" t="str">
        <f>IF(COUNTIF(Old_Patient_Records!$A$2:$A$549,Table4[[#This Row],[Patient_ID]])=0,"Orphan","Valid")</f>
        <v>Orphan</v>
      </c>
    </row>
    <row r="179" spans="1:9" x14ac:dyDescent="0.35">
      <c r="A179" t="s">
        <v>1938</v>
      </c>
      <c r="B179" t="s">
        <v>677</v>
      </c>
      <c r="C179" t="s">
        <v>1569</v>
      </c>
      <c r="D179" t="s">
        <v>467</v>
      </c>
      <c r="E179">
        <v>80.400000000000006</v>
      </c>
      <c r="F179" t="s">
        <v>1571</v>
      </c>
      <c r="G179" t="s">
        <v>1572</v>
      </c>
      <c r="I179" t="str">
        <f>IF(COUNTIF(Old_Patient_Records!$A$2:$A$549,Table4[[#This Row],[Patient_ID]])=0,"Orphan","Valid")</f>
        <v>Valid</v>
      </c>
    </row>
    <row r="180" spans="1:9" x14ac:dyDescent="0.35">
      <c r="A180" t="s">
        <v>1939</v>
      </c>
      <c r="B180" t="s">
        <v>567</v>
      </c>
      <c r="C180" t="s">
        <v>1614</v>
      </c>
      <c r="D180" t="s">
        <v>1940</v>
      </c>
      <c r="E180">
        <v>76</v>
      </c>
      <c r="F180" t="s">
        <v>1616</v>
      </c>
      <c r="G180" t="s">
        <v>1617</v>
      </c>
      <c r="H180" t="s">
        <v>1589</v>
      </c>
      <c r="I180" t="str">
        <f>IF(COUNTIF(Old_Patient_Records!$A$2:$A$549,Table4[[#This Row],[Patient_ID]])=0,"Orphan","Valid")</f>
        <v>Valid</v>
      </c>
    </row>
    <row r="181" spans="1:9" x14ac:dyDescent="0.35">
      <c r="A181" t="s">
        <v>1941</v>
      </c>
      <c r="B181" t="s">
        <v>1180</v>
      </c>
      <c r="C181" t="s">
        <v>1614</v>
      </c>
      <c r="D181" t="s">
        <v>1942</v>
      </c>
      <c r="E181">
        <v>43.8</v>
      </c>
      <c r="F181" t="s">
        <v>1616</v>
      </c>
      <c r="G181" t="s">
        <v>1617</v>
      </c>
      <c r="H181" t="s">
        <v>1573</v>
      </c>
      <c r="I181" t="str">
        <f>IF(COUNTIF(Old_Patient_Records!$A$2:$A$549,Table4[[#This Row],[Patient_ID]])=0,"Orphan","Valid")</f>
        <v>Valid</v>
      </c>
    </row>
    <row r="182" spans="1:9" x14ac:dyDescent="0.35">
      <c r="A182" t="s">
        <v>1943</v>
      </c>
      <c r="B182" t="s">
        <v>768</v>
      </c>
      <c r="C182" t="s">
        <v>1585</v>
      </c>
      <c r="D182" t="s">
        <v>1944</v>
      </c>
      <c r="E182">
        <v>244.2</v>
      </c>
      <c r="F182" t="s">
        <v>1587</v>
      </c>
      <c r="G182" t="s">
        <v>1588</v>
      </c>
      <c r="H182" t="s">
        <v>1608</v>
      </c>
      <c r="I182" t="str">
        <f>IF(COUNTIF(Old_Patient_Records!$A$2:$A$549,Table4[[#This Row],[Patient_ID]])=0,"Orphan","Valid")</f>
        <v>Valid</v>
      </c>
    </row>
    <row r="183" spans="1:9" x14ac:dyDescent="0.35">
      <c r="A183" t="s">
        <v>1945</v>
      </c>
      <c r="B183" t="s">
        <v>1105</v>
      </c>
      <c r="C183" t="s">
        <v>1580</v>
      </c>
      <c r="D183" t="s">
        <v>1946</v>
      </c>
      <c r="E183">
        <v>120.8</v>
      </c>
      <c r="F183" t="s">
        <v>1571</v>
      </c>
      <c r="G183" t="s">
        <v>1582</v>
      </c>
      <c r="H183" t="s">
        <v>1659</v>
      </c>
      <c r="I183" t="str">
        <f>IF(COUNTIF(Old_Patient_Records!$A$2:$A$549,Table4[[#This Row],[Patient_ID]])=0,"Orphan","Valid")</f>
        <v>Valid</v>
      </c>
    </row>
    <row r="184" spans="1:9" x14ac:dyDescent="0.35">
      <c r="A184" t="s">
        <v>1947</v>
      </c>
      <c r="B184" t="s">
        <v>588</v>
      </c>
      <c r="C184" t="s">
        <v>1614</v>
      </c>
      <c r="D184" t="s">
        <v>1948</v>
      </c>
      <c r="F184" t="s">
        <v>1616</v>
      </c>
      <c r="G184" t="s">
        <v>1617</v>
      </c>
      <c r="H184" t="s">
        <v>1659</v>
      </c>
      <c r="I184" t="str">
        <f>IF(COUNTIF(Old_Patient_Records!$A$2:$A$549,Table4[[#This Row],[Patient_ID]])=0,"Orphan","Valid")</f>
        <v>Valid</v>
      </c>
    </row>
    <row r="185" spans="1:9" x14ac:dyDescent="0.35">
      <c r="A185" t="s">
        <v>1949</v>
      </c>
      <c r="B185" t="s">
        <v>1079</v>
      </c>
      <c r="C185" t="s">
        <v>1563</v>
      </c>
      <c r="D185" t="s">
        <v>1950</v>
      </c>
      <c r="E185">
        <v>21.9</v>
      </c>
      <c r="F185" t="s">
        <v>1565</v>
      </c>
      <c r="G185" t="s">
        <v>1566</v>
      </c>
      <c r="H185" t="s">
        <v>1644</v>
      </c>
      <c r="I185" t="str">
        <f>IF(COUNTIF(Old_Patient_Records!$A$2:$A$549,Table4[[#This Row],[Patient_ID]])=0,"Orphan","Valid")</f>
        <v>Valid</v>
      </c>
    </row>
    <row r="186" spans="1:9" x14ac:dyDescent="0.35">
      <c r="A186" t="s">
        <v>1951</v>
      </c>
      <c r="B186" t="s">
        <v>629</v>
      </c>
      <c r="C186" t="s">
        <v>1569</v>
      </c>
      <c r="D186" t="s">
        <v>1250</v>
      </c>
      <c r="E186">
        <v>240.6</v>
      </c>
      <c r="F186" t="s">
        <v>1571</v>
      </c>
      <c r="G186" t="s">
        <v>1572</v>
      </c>
      <c r="I186" t="str">
        <f>IF(COUNTIF(Old_Patient_Records!$A$2:$A$549,Table4[[#This Row],[Patient_ID]])=0,"Orphan","Valid")</f>
        <v>Valid</v>
      </c>
    </row>
    <row r="187" spans="1:9" x14ac:dyDescent="0.35">
      <c r="A187" t="s">
        <v>1952</v>
      </c>
      <c r="B187" t="s">
        <v>1203</v>
      </c>
      <c r="C187" t="s">
        <v>1580</v>
      </c>
      <c r="D187" t="s">
        <v>1953</v>
      </c>
      <c r="E187">
        <v>248</v>
      </c>
      <c r="F187" t="s">
        <v>1571</v>
      </c>
      <c r="G187" t="s">
        <v>1582</v>
      </c>
      <c r="H187" t="s">
        <v>1583</v>
      </c>
      <c r="I187" t="str">
        <f>IF(COUNTIF(Old_Patient_Records!$A$2:$A$549,Table4[[#This Row],[Patient_ID]])=0,"Orphan","Valid")</f>
        <v>Valid</v>
      </c>
    </row>
    <row r="188" spans="1:9" x14ac:dyDescent="0.35">
      <c r="A188" t="s">
        <v>1954</v>
      </c>
      <c r="B188" t="s">
        <v>132</v>
      </c>
      <c r="C188" t="s">
        <v>1563</v>
      </c>
      <c r="D188" t="s">
        <v>1955</v>
      </c>
      <c r="E188">
        <v>125</v>
      </c>
      <c r="F188" t="s">
        <v>1565</v>
      </c>
      <c r="G188" t="s">
        <v>1566</v>
      </c>
      <c r="H188" t="s">
        <v>1578</v>
      </c>
      <c r="I188" t="str">
        <f>IF(COUNTIF(Old_Patient_Records!$A$2:$A$549,Table4[[#This Row],[Patient_ID]])=0,"Orphan","Valid")</f>
        <v>Valid</v>
      </c>
    </row>
    <row r="189" spans="1:9" x14ac:dyDescent="0.35">
      <c r="A189" t="s">
        <v>1956</v>
      </c>
      <c r="B189" t="s">
        <v>1280</v>
      </c>
      <c r="C189" t="s">
        <v>1585</v>
      </c>
      <c r="D189" t="s">
        <v>1957</v>
      </c>
      <c r="E189">
        <v>249.1</v>
      </c>
      <c r="F189" t="s">
        <v>1587</v>
      </c>
      <c r="G189" t="s">
        <v>1588</v>
      </c>
      <c r="I189" t="str">
        <f>IF(COUNTIF(Old_Patient_Records!$A$2:$A$549,Table4[[#This Row],[Patient_ID]])=0,"Orphan","Valid")</f>
        <v>Valid</v>
      </c>
    </row>
    <row r="190" spans="1:9" x14ac:dyDescent="0.35">
      <c r="A190" t="s">
        <v>1958</v>
      </c>
      <c r="B190" t="s">
        <v>159</v>
      </c>
      <c r="C190" t="s">
        <v>1585</v>
      </c>
      <c r="D190" t="s">
        <v>1959</v>
      </c>
      <c r="E190">
        <v>37</v>
      </c>
      <c r="F190" t="s">
        <v>1587</v>
      </c>
      <c r="G190" t="s">
        <v>1588</v>
      </c>
      <c r="H190" t="s">
        <v>1567</v>
      </c>
      <c r="I190" t="str">
        <f>IF(COUNTIF(Old_Patient_Records!$A$2:$A$549,Table4[[#This Row],[Patient_ID]])=0,"Orphan","Valid")</f>
        <v>Valid</v>
      </c>
    </row>
    <row r="191" spans="1:9" x14ac:dyDescent="0.35">
      <c r="A191" t="s">
        <v>1960</v>
      </c>
      <c r="B191" t="s">
        <v>1337</v>
      </c>
      <c r="C191" t="s">
        <v>1563</v>
      </c>
      <c r="D191" t="s">
        <v>1961</v>
      </c>
      <c r="F191" t="s">
        <v>1565</v>
      </c>
      <c r="G191" t="s">
        <v>1566</v>
      </c>
      <c r="H191" t="s">
        <v>1644</v>
      </c>
      <c r="I191" t="str">
        <f>IF(COUNTIF(Old_Patient_Records!$A$2:$A$549,Table4[[#This Row],[Patient_ID]])=0,"Orphan","Valid")</f>
        <v>Valid</v>
      </c>
    </row>
    <row r="192" spans="1:9" x14ac:dyDescent="0.35">
      <c r="A192" t="s">
        <v>1962</v>
      </c>
      <c r="B192" t="s">
        <v>1446</v>
      </c>
      <c r="C192" t="s">
        <v>1563</v>
      </c>
      <c r="D192" t="s">
        <v>1963</v>
      </c>
      <c r="E192">
        <v>214.1</v>
      </c>
      <c r="F192" t="s">
        <v>1565</v>
      </c>
      <c r="G192" t="s">
        <v>1566</v>
      </c>
      <c r="H192" t="s">
        <v>1659</v>
      </c>
      <c r="I192" t="str">
        <f>IF(COUNTIF(Old_Patient_Records!$A$2:$A$549,Table4[[#This Row],[Patient_ID]])=0,"Orphan","Valid")</f>
        <v>Valid</v>
      </c>
    </row>
    <row r="193" spans="1:9" x14ac:dyDescent="0.35">
      <c r="A193" t="s">
        <v>1964</v>
      </c>
      <c r="B193" t="s">
        <v>254</v>
      </c>
      <c r="C193" t="s">
        <v>1569</v>
      </c>
      <c r="D193" t="s">
        <v>1965</v>
      </c>
      <c r="E193">
        <v>140.30000000000001</v>
      </c>
      <c r="F193" t="s">
        <v>1571</v>
      </c>
      <c r="G193" t="s">
        <v>1572</v>
      </c>
      <c r="I193" t="str">
        <f>IF(COUNTIF(Old_Patient_Records!$A$2:$A$549,Table4[[#This Row],[Patient_ID]])=0,"Orphan","Valid")</f>
        <v>Valid</v>
      </c>
    </row>
    <row r="194" spans="1:9" x14ac:dyDescent="0.35">
      <c r="A194" t="s">
        <v>1966</v>
      </c>
      <c r="B194" t="s">
        <v>945</v>
      </c>
      <c r="C194" t="s">
        <v>1585</v>
      </c>
      <c r="D194" t="s">
        <v>1967</v>
      </c>
      <c r="E194">
        <v>216.1</v>
      </c>
      <c r="F194" t="s">
        <v>1587</v>
      </c>
      <c r="G194" t="s">
        <v>1588</v>
      </c>
      <c r="H194" t="s">
        <v>1608</v>
      </c>
      <c r="I194" t="str">
        <f>IF(COUNTIF(Old_Patient_Records!$A$2:$A$549,Table4[[#This Row],[Patient_ID]])=0,"Orphan","Valid")</f>
        <v>Valid</v>
      </c>
    </row>
    <row r="195" spans="1:9" x14ac:dyDescent="0.35">
      <c r="A195" t="s">
        <v>1968</v>
      </c>
      <c r="B195" t="s">
        <v>1089</v>
      </c>
      <c r="C195" t="s">
        <v>1569</v>
      </c>
      <c r="D195" t="s">
        <v>1969</v>
      </c>
      <c r="E195">
        <v>20.9</v>
      </c>
      <c r="F195" t="s">
        <v>1571</v>
      </c>
      <c r="G195" t="s">
        <v>1572</v>
      </c>
      <c r="H195" t="s">
        <v>1608</v>
      </c>
      <c r="I195" t="str">
        <f>IF(COUNTIF(Old_Patient_Records!$A$2:$A$549,Table4[[#This Row],[Patient_ID]])=0,"Orphan","Valid")</f>
        <v>Valid</v>
      </c>
    </row>
    <row r="196" spans="1:9" x14ac:dyDescent="0.35">
      <c r="A196" t="s">
        <v>1970</v>
      </c>
      <c r="B196" t="s">
        <v>1004</v>
      </c>
      <c r="C196" t="s">
        <v>1580</v>
      </c>
      <c r="D196" t="s">
        <v>1971</v>
      </c>
      <c r="E196">
        <v>218.2</v>
      </c>
      <c r="F196" t="s">
        <v>1571</v>
      </c>
      <c r="G196" t="s">
        <v>1582</v>
      </c>
      <c r="I196" t="str">
        <f>IF(COUNTIF(Old_Patient_Records!$A$2:$A$549,Table4[[#This Row],[Patient_ID]])=0,"Orphan","Valid")</f>
        <v>Valid</v>
      </c>
    </row>
    <row r="197" spans="1:9" x14ac:dyDescent="0.35">
      <c r="A197" t="s">
        <v>1972</v>
      </c>
      <c r="B197" t="s">
        <v>374</v>
      </c>
      <c r="C197" t="s">
        <v>1585</v>
      </c>
      <c r="D197" t="s">
        <v>1973</v>
      </c>
      <c r="E197">
        <v>155.1</v>
      </c>
      <c r="F197" t="s">
        <v>1587</v>
      </c>
      <c r="G197" t="s">
        <v>1588</v>
      </c>
      <c r="H197" t="s">
        <v>1608</v>
      </c>
      <c r="I197" t="str">
        <f>IF(COUNTIF(Old_Patient_Records!$A$2:$A$549,Table4[[#This Row],[Patient_ID]])=0,"Orphan","Valid")</f>
        <v>Valid</v>
      </c>
    </row>
    <row r="198" spans="1:9" x14ac:dyDescent="0.35">
      <c r="A198" t="s">
        <v>1974</v>
      </c>
      <c r="B198" t="s">
        <v>336</v>
      </c>
      <c r="C198" t="s">
        <v>1569</v>
      </c>
      <c r="D198" t="s">
        <v>1975</v>
      </c>
      <c r="E198">
        <v>5.9</v>
      </c>
      <c r="F198" t="s">
        <v>1571</v>
      </c>
      <c r="G198" t="s">
        <v>1572</v>
      </c>
      <c r="H198" t="s">
        <v>1567</v>
      </c>
      <c r="I198" t="str">
        <f>IF(COUNTIF(Old_Patient_Records!$A$2:$A$549,Table4[[#This Row],[Patient_ID]])=0,"Orphan","Valid")</f>
        <v>Valid</v>
      </c>
    </row>
    <row r="199" spans="1:9" x14ac:dyDescent="0.35">
      <c r="A199" t="s">
        <v>1976</v>
      </c>
      <c r="B199" t="s">
        <v>951</v>
      </c>
      <c r="C199" t="s">
        <v>1585</v>
      </c>
      <c r="D199" t="s">
        <v>1977</v>
      </c>
      <c r="E199">
        <v>158.19999999999999</v>
      </c>
      <c r="F199" t="s">
        <v>1587</v>
      </c>
      <c r="G199" t="s">
        <v>1588</v>
      </c>
      <c r="I199" t="str">
        <f>IF(COUNTIF(Old_Patient_Records!$A$2:$A$549,Table4[[#This Row],[Patient_ID]])=0,"Orphan","Valid")</f>
        <v>Valid</v>
      </c>
    </row>
    <row r="200" spans="1:9" x14ac:dyDescent="0.35">
      <c r="A200" t="s">
        <v>1978</v>
      </c>
      <c r="B200" t="s">
        <v>1334</v>
      </c>
      <c r="C200" t="s">
        <v>1591</v>
      </c>
      <c r="D200" t="s">
        <v>1979</v>
      </c>
      <c r="E200">
        <v>75.599999999999994</v>
      </c>
      <c r="F200" t="s">
        <v>1593</v>
      </c>
      <c r="G200" t="s">
        <v>1594</v>
      </c>
      <c r="H200" t="s">
        <v>1589</v>
      </c>
      <c r="I200" t="str">
        <f>IF(COUNTIF(Old_Patient_Records!$A$2:$A$549,Table4[[#This Row],[Patient_ID]])=0,"Orphan","Valid")</f>
        <v>Valid</v>
      </c>
    </row>
    <row r="201" spans="1:9" x14ac:dyDescent="0.35">
      <c r="A201" t="s">
        <v>1980</v>
      </c>
      <c r="B201" t="s">
        <v>1981</v>
      </c>
      <c r="C201" t="s">
        <v>1591</v>
      </c>
      <c r="D201" t="s">
        <v>1982</v>
      </c>
      <c r="E201">
        <v>48.1</v>
      </c>
      <c r="F201" t="s">
        <v>1593</v>
      </c>
      <c r="G201" t="s">
        <v>1594</v>
      </c>
      <c r="H201" t="s">
        <v>1578</v>
      </c>
      <c r="I201" t="str">
        <f>IF(COUNTIF(Old_Patient_Records!$A$2:$A$549,Table4[[#This Row],[Patient_ID]])=0,"Orphan","Valid")</f>
        <v>Orphan</v>
      </c>
    </row>
    <row r="202" spans="1:9" x14ac:dyDescent="0.35">
      <c r="A202" t="s">
        <v>1983</v>
      </c>
      <c r="B202" t="s">
        <v>294</v>
      </c>
      <c r="C202" t="s">
        <v>1585</v>
      </c>
      <c r="D202" t="s">
        <v>1984</v>
      </c>
      <c r="E202">
        <v>51.1</v>
      </c>
      <c r="F202" t="s">
        <v>1587</v>
      </c>
      <c r="G202" t="s">
        <v>1588</v>
      </c>
      <c r="H202" t="s">
        <v>1644</v>
      </c>
      <c r="I202" t="str">
        <f>IF(COUNTIF(Old_Patient_Records!$A$2:$A$549,Table4[[#This Row],[Patient_ID]])=0,"Orphan","Valid")</f>
        <v>Valid</v>
      </c>
    </row>
    <row r="203" spans="1:9" x14ac:dyDescent="0.35">
      <c r="A203" t="s">
        <v>1985</v>
      </c>
      <c r="B203" t="s">
        <v>126</v>
      </c>
      <c r="C203" t="s">
        <v>1585</v>
      </c>
      <c r="D203" t="s">
        <v>1986</v>
      </c>
      <c r="E203">
        <v>152.4</v>
      </c>
      <c r="F203" t="s">
        <v>1587</v>
      </c>
      <c r="G203" t="s">
        <v>1588</v>
      </c>
      <c r="H203" t="s">
        <v>1644</v>
      </c>
      <c r="I203" t="str">
        <f>IF(COUNTIF(Old_Patient_Records!$A$2:$A$549,Table4[[#This Row],[Patient_ID]])=0,"Orphan","Valid")</f>
        <v>Valid</v>
      </c>
    </row>
    <row r="204" spans="1:9" x14ac:dyDescent="0.35">
      <c r="A204" t="s">
        <v>1987</v>
      </c>
      <c r="B204" t="s">
        <v>50</v>
      </c>
      <c r="C204" t="s">
        <v>1563</v>
      </c>
      <c r="D204" t="s">
        <v>1988</v>
      </c>
      <c r="E204">
        <v>135</v>
      </c>
      <c r="F204" t="s">
        <v>1565</v>
      </c>
      <c r="G204" t="s">
        <v>1566</v>
      </c>
      <c r="H204" t="s">
        <v>1589</v>
      </c>
      <c r="I204" t="str">
        <f>IF(COUNTIF(Old_Patient_Records!$A$2:$A$549,Table4[[#This Row],[Patient_ID]])=0,"Orphan","Valid")</f>
        <v>Valid</v>
      </c>
    </row>
    <row r="205" spans="1:9" x14ac:dyDescent="0.35">
      <c r="A205" t="s">
        <v>1989</v>
      </c>
      <c r="B205" t="s">
        <v>1398</v>
      </c>
      <c r="C205" t="s">
        <v>1580</v>
      </c>
      <c r="D205" t="s">
        <v>1990</v>
      </c>
      <c r="E205">
        <v>89.3</v>
      </c>
      <c r="F205" t="s">
        <v>1571</v>
      </c>
      <c r="G205" t="s">
        <v>1582</v>
      </c>
      <c r="I205" t="str">
        <f>IF(COUNTIF(Old_Patient_Records!$A$2:$A$549,Table4[[#This Row],[Patient_ID]])=0,"Orphan","Valid")</f>
        <v>Valid</v>
      </c>
    </row>
    <row r="206" spans="1:9" x14ac:dyDescent="0.35">
      <c r="A206" t="s">
        <v>1991</v>
      </c>
      <c r="B206" t="s">
        <v>328</v>
      </c>
      <c r="C206" t="s">
        <v>1580</v>
      </c>
      <c r="D206" t="s">
        <v>1992</v>
      </c>
      <c r="E206">
        <v>83</v>
      </c>
      <c r="F206" t="s">
        <v>1571</v>
      </c>
      <c r="G206" t="s">
        <v>1582</v>
      </c>
      <c r="H206" t="s">
        <v>1608</v>
      </c>
      <c r="I206" t="str">
        <f>IF(COUNTIF(Old_Patient_Records!$A$2:$A$549,Table4[[#This Row],[Patient_ID]])=0,"Orphan","Valid")</f>
        <v>Valid</v>
      </c>
    </row>
    <row r="207" spans="1:9" x14ac:dyDescent="0.35">
      <c r="A207" t="s">
        <v>1993</v>
      </c>
      <c r="B207" t="s">
        <v>945</v>
      </c>
      <c r="C207" t="s">
        <v>1591</v>
      </c>
      <c r="D207" t="s">
        <v>1994</v>
      </c>
      <c r="E207">
        <v>115.4</v>
      </c>
      <c r="F207" t="s">
        <v>1593</v>
      </c>
      <c r="G207" t="s">
        <v>1594</v>
      </c>
      <c r="I207" t="str">
        <f>IF(COUNTIF(Old_Patient_Records!$A$2:$A$549,Table4[[#This Row],[Patient_ID]])=0,"Orphan","Valid")</f>
        <v>Valid</v>
      </c>
    </row>
    <row r="208" spans="1:9" x14ac:dyDescent="0.35">
      <c r="A208" t="s">
        <v>1995</v>
      </c>
      <c r="B208" t="s">
        <v>928</v>
      </c>
      <c r="C208" t="s">
        <v>1563</v>
      </c>
      <c r="D208" t="s">
        <v>1996</v>
      </c>
      <c r="E208">
        <v>138.69999999999999</v>
      </c>
      <c r="F208" t="s">
        <v>1565</v>
      </c>
      <c r="G208" t="s">
        <v>1566</v>
      </c>
      <c r="H208" t="s">
        <v>1589</v>
      </c>
      <c r="I208" t="str">
        <f>IF(COUNTIF(Old_Patient_Records!$A$2:$A$549,Table4[[#This Row],[Patient_ID]])=0,"Orphan","Valid")</f>
        <v>Valid</v>
      </c>
    </row>
    <row r="209" spans="1:9" x14ac:dyDescent="0.35">
      <c r="A209" t="s">
        <v>1997</v>
      </c>
      <c r="B209" t="s">
        <v>1180</v>
      </c>
      <c r="C209" t="s">
        <v>1580</v>
      </c>
      <c r="D209" t="s">
        <v>1998</v>
      </c>
      <c r="E209">
        <v>118.9</v>
      </c>
      <c r="F209" t="s">
        <v>1571</v>
      </c>
      <c r="G209" t="s">
        <v>1582</v>
      </c>
      <c r="I209" t="str">
        <f>IF(COUNTIF(Old_Patient_Records!$A$2:$A$549,Table4[[#This Row],[Patient_ID]])=0,"Orphan","Valid")</f>
        <v>Valid</v>
      </c>
    </row>
    <row r="210" spans="1:9" x14ac:dyDescent="0.35">
      <c r="A210" t="s">
        <v>1999</v>
      </c>
      <c r="B210" t="s">
        <v>1115</v>
      </c>
      <c r="C210" t="s">
        <v>1614</v>
      </c>
      <c r="D210" t="s">
        <v>2000</v>
      </c>
      <c r="F210" t="s">
        <v>1616</v>
      </c>
      <c r="G210" t="s">
        <v>1617</v>
      </c>
      <c r="H210" t="s">
        <v>1644</v>
      </c>
      <c r="I210" t="str">
        <f>IF(COUNTIF(Old_Patient_Records!$A$2:$A$549,Table4[[#This Row],[Patient_ID]])=0,"Orphan","Valid")</f>
        <v>Valid</v>
      </c>
    </row>
    <row r="211" spans="1:9" x14ac:dyDescent="0.35">
      <c r="A211" t="s">
        <v>2001</v>
      </c>
      <c r="B211" t="s">
        <v>1067</v>
      </c>
      <c r="C211" t="s">
        <v>1585</v>
      </c>
      <c r="D211" t="s">
        <v>2002</v>
      </c>
      <c r="E211">
        <v>8.4</v>
      </c>
      <c r="F211" t="s">
        <v>1587</v>
      </c>
      <c r="G211" t="s">
        <v>1588</v>
      </c>
      <c r="H211" t="s">
        <v>1589</v>
      </c>
      <c r="I211" t="str">
        <f>IF(COUNTIF(Old_Patient_Records!$A$2:$A$549,Table4[[#This Row],[Patient_ID]])=0,"Orphan","Valid")</f>
        <v>Valid</v>
      </c>
    </row>
    <row r="212" spans="1:9" x14ac:dyDescent="0.35">
      <c r="A212" t="s">
        <v>2003</v>
      </c>
      <c r="B212" t="s">
        <v>1132</v>
      </c>
      <c r="C212" t="s">
        <v>1569</v>
      </c>
      <c r="D212" t="s">
        <v>2004</v>
      </c>
      <c r="E212">
        <v>120.7</v>
      </c>
      <c r="F212" t="s">
        <v>1571</v>
      </c>
      <c r="G212" t="s">
        <v>1572</v>
      </c>
      <c r="I212" t="str">
        <f>IF(COUNTIF(Old_Patient_Records!$A$2:$A$549,Table4[[#This Row],[Patient_ID]])=0,"Orphan","Valid")</f>
        <v>Valid</v>
      </c>
    </row>
    <row r="213" spans="1:9" x14ac:dyDescent="0.35">
      <c r="A213" t="s">
        <v>2005</v>
      </c>
      <c r="B213" t="s">
        <v>839</v>
      </c>
      <c r="C213" t="s">
        <v>1614</v>
      </c>
      <c r="D213" t="s">
        <v>2006</v>
      </c>
      <c r="E213">
        <v>60.8</v>
      </c>
      <c r="F213" t="s">
        <v>1616</v>
      </c>
      <c r="G213" t="s">
        <v>1617</v>
      </c>
      <c r="H213" t="s">
        <v>1644</v>
      </c>
      <c r="I213" t="str">
        <f>IF(COUNTIF(Old_Patient_Records!$A$2:$A$549,Table4[[#This Row],[Patient_ID]])=0,"Orphan","Valid")</f>
        <v>Valid</v>
      </c>
    </row>
    <row r="214" spans="1:9" x14ac:dyDescent="0.35">
      <c r="A214" t="s">
        <v>2007</v>
      </c>
      <c r="B214" t="s">
        <v>248</v>
      </c>
      <c r="C214" t="s">
        <v>1569</v>
      </c>
      <c r="D214" t="s">
        <v>2008</v>
      </c>
      <c r="E214">
        <v>91.6</v>
      </c>
      <c r="F214" t="s">
        <v>1571</v>
      </c>
      <c r="G214" t="s">
        <v>1572</v>
      </c>
      <c r="I214" t="str">
        <f>IF(COUNTIF(Old_Patient_Records!$A$2:$A$549,Table4[[#This Row],[Patient_ID]])=0,"Orphan","Valid")</f>
        <v>Valid</v>
      </c>
    </row>
    <row r="215" spans="1:9" x14ac:dyDescent="0.35">
      <c r="A215" t="s">
        <v>2009</v>
      </c>
      <c r="B215" t="s">
        <v>732</v>
      </c>
      <c r="C215" t="s">
        <v>1591</v>
      </c>
      <c r="D215" t="s">
        <v>2010</v>
      </c>
      <c r="E215">
        <v>132.1</v>
      </c>
      <c r="F215" t="s">
        <v>1593</v>
      </c>
      <c r="G215" t="s">
        <v>1594</v>
      </c>
      <c r="I215" t="str">
        <f>IF(COUNTIF(Old_Patient_Records!$A$2:$A$549,Table4[[#This Row],[Patient_ID]])=0,"Orphan","Valid")</f>
        <v>Valid</v>
      </c>
    </row>
    <row r="216" spans="1:9" x14ac:dyDescent="0.35">
      <c r="A216" t="s">
        <v>2011</v>
      </c>
      <c r="B216" t="s">
        <v>109</v>
      </c>
      <c r="C216" t="s">
        <v>1580</v>
      </c>
      <c r="D216" t="s">
        <v>995</v>
      </c>
      <c r="E216">
        <v>88</v>
      </c>
      <c r="F216" t="s">
        <v>1571</v>
      </c>
      <c r="G216" t="s">
        <v>1582</v>
      </c>
      <c r="H216" t="s">
        <v>1608</v>
      </c>
      <c r="I216" t="str">
        <f>IF(COUNTIF(Old_Patient_Records!$A$2:$A$549,Table4[[#This Row],[Patient_ID]])=0,"Orphan","Valid")</f>
        <v>Valid</v>
      </c>
    </row>
    <row r="217" spans="1:9" x14ac:dyDescent="0.35">
      <c r="A217" t="s">
        <v>2012</v>
      </c>
      <c r="B217" t="s">
        <v>848</v>
      </c>
      <c r="C217" t="s">
        <v>1591</v>
      </c>
      <c r="D217" t="s">
        <v>2013</v>
      </c>
      <c r="E217">
        <v>88.6</v>
      </c>
      <c r="F217" t="s">
        <v>1593</v>
      </c>
      <c r="G217" t="s">
        <v>1594</v>
      </c>
      <c r="I217" t="str">
        <f>IF(COUNTIF(Old_Patient_Records!$A$2:$A$549,Table4[[#This Row],[Patient_ID]])=0,"Orphan","Valid")</f>
        <v>Valid</v>
      </c>
    </row>
    <row r="218" spans="1:9" x14ac:dyDescent="0.35">
      <c r="A218" t="s">
        <v>2014</v>
      </c>
      <c r="B218" t="s">
        <v>2015</v>
      </c>
      <c r="C218" t="s">
        <v>1580</v>
      </c>
      <c r="D218" t="s">
        <v>2016</v>
      </c>
      <c r="E218">
        <v>95.7</v>
      </c>
      <c r="F218" t="s">
        <v>1571</v>
      </c>
      <c r="G218" t="s">
        <v>1582</v>
      </c>
      <c r="H218" t="s">
        <v>1578</v>
      </c>
      <c r="I218" t="str">
        <f>IF(COUNTIF(Old_Patient_Records!$A$2:$A$549,Table4[[#This Row],[Patient_ID]])=0,"Orphan","Valid")</f>
        <v>Orphan</v>
      </c>
    </row>
    <row r="219" spans="1:9" x14ac:dyDescent="0.35">
      <c r="A219" t="s">
        <v>2017</v>
      </c>
      <c r="B219" t="s">
        <v>1352</v>
      </c>
      <c r="C219" t="s">
        <v>1563</v>
      </c>
      <c r="D219" t="s">
        <v>1064</v>
      </c>
      <c r="E219">
        <v>197.8</v>
      </c>
      <c r="F219" t="s">
        <v>1565</v>
      </c>
      <c r="G219" t="s">
        <v>1566</v>
      </c>
      <c r="H219" t="s">
        <v>1578</v>
      </c>
      <c r="I219" t="str">
        <f>IF(COUNTIF(Old_Patient_Records!$A$2:$A$549,Table4[[#This Row],[Patient_ID]])=0,"Orphan","Valid")</f>
        <v>Valid</v>
      </c>
    </row>
    <row r="220" spans="1:9" x14ac:dyDescent="0.35">
      <c r="A220" t="s">
        <v>2018</v>
      </c>
      <c r="B220" t="s">
        <v>717</v>
      </c>
      <c r="C220" t="s">
        <v>1569</v>
      </c>
      <c r="D220" t="s">
        <v>2019</v>
      </c>
      <c r="E220">
        <v>178.5</v>
      </c>
      <c r="F220" t="s">
        <v>1571</v>
      </c>
      <c r="G220" t="s">
        <v>1572</v>
      </c>
      <c r="I220" t="str">
        <f>IF(COUNTIF(Old_Patient_Records!$A$2:$A$549,Table4[[#This Row],[Patient_ID]])=0,"Orphan","Valid")</f>
        <v>Valid</v>
      </c>
    </row>
    <row r="221" spans="1:9" x14ac:dyDescent="0.35">
      <c r="A221" t="s">
        <v>2020</v>
      </c>
      <c r="B221" t="s">
        <v>343</v>
      </c>
      <c r="C221" t="s">
        <v>1580</v>
      </c>
      <c r="D221" t="s">
        <v>2021</v>
      </c>
      <c r="E221">
        <v>99.1</v>
      </c>
      <c r="F221" t="s">
        <v>1571</v>
      </c>
      <c r="G221" t="s">
        <v>1582</v>
      </c>
      <c r="H221" t="s">
        <v>1583</v>
      </c>
      <c r="I221" t="str">
        <f>IF(COUNTIF(Old_Patient_Records!$A$2:$A$549,Table4[[#This Row],[Patient_ID]])=0,"Orphan","Valid")</f>
        <v>Valid</v>
      </c>
    </row>
    <row r="222" spans="1:9" x14ac:dyDescent="0.35">
      <c r="A222" t="s">
        <v>2022</v>
      </c>
      <c r="B222" t="s">
        <v>813</v>
      </c>
      <c r="C222" t="s">
        <v>1614</v>
      </c>
      <c r="D222" t="s">
        <v>2023</v>
      </c>
      <c r="E222">
        <v>21.4</v>
      </c>
      <c r="F222" t="s">
        <v>1616</v>
      </c>
      <c r="G222" t="s">
        <v>1617</v>
      </c>
      <c r="H222" t="s">
        <v>1589</v>
      </c>
      <c r="I222" t="str">
        <f>IF(COUNTIF(Old_Patient_Records!$A$2:$A$549,Table4[[#This Row],[Patient_ID]])=0,"Orphan","Valid")</f>
        <v>Valid</v>
      </c>
    </row>
    <row r="223" spans="1:9" x14ac:dyDescent="0.35">
      <c r="A223" t="s">
        <v>2024</v>
      </c>
      <c r="B223" t="s">
        <v>245</v>
      </c>
      <c r="C223" t="s">
        <v>1563</v>
      </c>
      <c r="D223" t="s">
        <v>2025</v>
      </c>
      <c r="E223">
        <v>121.1</v>
      </c>
      <c r="F223" t="s">
        <v>1565</v>
      </c>
      <c r="G223" t="s">
        <v>1566</v>
      </c>
      <c r="H223" t="s">
        <v>1659</v>
      </c>
      <c r="I223" t="str">
        <f>IF(COUNTIF(Old_Patient_Records!$A$2:$A$549,Table4[[#This Row],[Patient_ID]])=0,"Orphan","Valid")</f>
        <v>Valid</v>
      </c>
    </row>
    <row r="224" spans="1:9" x14ac:dyDescent="0.35">
      <c r="A224" t="s">
        <v>2026</v>
      </c>
      <c r="B224" t="s">
        <v>487</v>
      </c>
      <c r="C224" t="s">
        <v>1591</v>
      </c>
      <c r="D224" t="s">
        <v>2027</v>
      </c>
      <c r="E224">
        <v>197</v>
      </c>
      <c r="F224" t="s">
        <v>1593</v>
      </c>
      <c r="G224" t="s">
        <v>1594</v>
      </c>
      <c r="H224" t="s">
        <v>1583</v>
      </c>
      <c r="I224" t="str">
        <f>IF(COUNTIF(Old_Patient_Records!$A$2:$A$549,Table4[[#This Row],[Patient_ID]])=0,"Orphan","Valid")</f>
        <v>Valid</v>
      </c>
    </row>
    <row r="225" spans="1:9" x14ac:dyDescent="0.35">
      <c r="A225" t="s">
        <v>2028</v>
      </c>
      <c r="B225" t="s">
        <v>605</v>
      </c>
      <c r="C225" t="s">
        <v>1569</v>
      </c>
      <c r="D225" t="s">
        <v>1845</v>
      </c>
      <c r="E225">
        <v>239.6</v>
      </c>
      <c r="F225" t="s">
        <v>1571</v>
      </c>
      <c r="G225" t="s">
        <v>1572</v>
      </c>
      <c r="H225" t="s">
        <v>1567</v>
      </c>
      <c r="I225" t="str">
        <f>IF(COUNTIF(Old_Patient_Records!$A$2:$A$549,Table4[[#This Row],[Patient_ID]])=0,"Orphan","Valid")</f>
        <v>Valid</v>
      </c>
    </row>
    <row r="226" spans="1:9" x14ac:dyDescent="0.35">
      <c r="A226" t="s">
        <v>2029</v>
      </c>
      <c r="B226" t="s">
        <v>1475</v>
      </c>
      <c r="C226" t="s">
        <v>1585</v>
      </c>
      <c r="D226" t="s">
        <v>2030</v>
      </c>
      <c r="E226">
        <v>200.7</v>
      </c>
      <c r="F226" t="s">
        <v>1587</v>
      </c>
      <c r="G226" t="s">
        <v>1588</v>
      </c>
      <c r="H226" t="s">
        <v>1567</v>
      </c>
      <c r="I226" t="str">
        <f>IF(COUNTIF(Old_Patient_Records!$A$2:$A$549,Table4[[#This Row],[Patient_ID]])=0,"Orphan","Valid")</f>
        <v>Valid</v>
      </c>
    </row>
    <row r="227" spans="1:9" x14ac:dyDescent="0.35">
      <c r="A227" t="s">
        <v>2031</v>
      </c>
      <c r="B227" t="s">
        <v>481</v>
      </c>
      <c r="C227" t="s">
        <v>1563</v>
      </c>
      <c r="D227" t="s">
        <v>2032</v>
      </c>
      <c r="F227" t="s">
        <v>1565</v>
      </c>
      <c r="G227" t="s">
        <v>1566</v>
      </c>
      <c r="H227" t="s">
        <v>1659</v>
      </c>
      <c r="I227" t="str">
        <f>IF(COUNTIF(Old_Patient_Records!$A$2:$A$549,Table4[[#This Row],[Patient_ID]])=0,"Orphan","Valid")</f>
        <v>Valid</v>
      </c>
    </row>
    <row r="228" spans="1:9" x14ac:dyDescent="0.35">
      <c r="A228" t="s">
        <v>2033</v>
      </c>
      <c r="B228" t="s">
        <v>492</v>
      </c>
      <c r="C228" t="s">
        <v>1614</v>
      </c>
      <c r="D228" t="s">
        <v>805</v>
      </c>
      <c r="E228">
        <v>114.4</v>
      </c>
      <c r="F228" t="s">
        <v>1616</v>
      </c>
      <c r="G228" t="s">
        <v>1617</v>
      </c>
      <c r="I228" t="str">
        <f>IF(COUNTIF(Old_Patient_Records!$A$2:$A$549,Table4[[#This Row],[Patient_ID]])=0,"Orphan","Valid")</f>
        <v>Valid</v>
      </c>
    </row>
    <row r="229" spans="1:9" x14ac:dyDescent="0.35">
      <c r="A229" t="s">
        <v>2034</v>
      </c>
      <c r="B229" t="s">
        <v>830</v>
      </c>
      <c r="C229" t="s">
        <v>1563</v>
      </c>
      <c r="D229" t="s">
        <v>2035</v>
      </c>
      <c r="E229">
        <v>116.7</v>
      </c>
      <c r="F229" t="s">
        <v>1565</v>
      </c>
      <c r="G229" t="s">
        <v>1566</v>
      </c>
      <c r="H229" t="s">
        <v>1589</v>
      </c>
      <c r="I229" t="str">
        <f>IF(COUNTIF(Old_Patient_Records!$A$2:$A$549,Table4[[#This Row],[Patient_ID]])=0,"Orphan","Valid")</f>
        <v>Valid</v>
      </c>
    </row>
    <row r="230" spans="1:9" x14ac:dyDescent="0.35">
      <c r="A230" t="s">
        <v>2036</v>
      </c>
      <c r="B230" t="s">
        <v>105</v>
      </c>
      <c r="C230" t="s">
        <v>1591</v>
      </c>
      <c r="D230" t="s">
        <v>2037</v>
      </c>
      <c r="E230">
        <v>35.4</v>
      </c>
      <c r="F230" t="s">
        <v>1593</v>
      </c>
      <c r="G230" t="s">
        <v>1594</v>
      </c>
      <c r="H230" t="s">
        <v>1589</v>
      </c>
      <c r="I230" t="str">
        <f>IF(COUNTIF(Old_Patient_Records!$A$2:$A$549,Table4[[#This Row],[Patient_ID]])=0,"Orphan","Valid")</f>
        <v>Valid</v>
      </c>
    </row>
    <row r="231" spans="1:9" x14ac:dyDescent="0.35">
      <c r="A231" t="s">
        <v>2038</v>
      </c>
      <c r="B231" t="s">
        <v>1092</v>
      </c>
      <c r="C231" t="s">
        <v>1563</v>
      </c>
      <c r="D231" t="s">
        <v>2039</v>
      </c>
      <c r="E231">
        <v>139.80000000000001</v>
      </c>
      <c r="F231" t="s">
        <v>1565</v>
      </c>
      <c r="G231" t="s">
        <v>1566</v>
      </c>
      <c r="H231" t="s">
        <v>1589</v>
      </c>
      <c r="I231" t="str">
        <f>IF(COUNTIF(Old_Patient_Records!$A$2:$A$549,Table4[[#This Row],[Patient_ID]])=0,"Orphan","Valid")</f>
        <v>Valid</v>
      </c>
    </row>
    <row r="232" spans="1:9" x14ac:dyDescent="0.35">
      <c r="A232" t="s">
        <v>2040</v>
      </c>
      <c r="B232" t="s">
        <v>168</v>
      </c>
      <c r="C232" t="s">
        <v>1563</v>
      </c>
      <c r="D232" t="s">
        <v>2041</v>
      </c>
      <c r="E232">
        <v>162.69999999999999</v>
      </c>
      <c r="F232" t="s">
        <v>1565</v>
      </c>
      <c r="G232" t="s">
        <v>1566</v>
      </c>
      <c r="H232" t="s">
        <v>1567</v>
      </c>
      <c r="I232" t="str">
        <f>IF(COUNTIF(Old_Patient_Records!$A$2:$A$549,Table4[[#This Row],[Patient_ID]])=0,"Orphan","Valid")</f>
        <v>Valid</v>
      </c>
    </row>
    <row r="233" spans="1:9" x14ac:dyDescent="0.35">
      <c r="A233" t="s">
        <v>2042</v>
      </c>
      <c r="B233" t="s">
        <v>449</v>
      </c>
      <c r="C233" t="s">
        <v>1585</v>
      </c>
      <c r="D233" t="s">
        <v>2043</v>
      </c>
      <c r="E233">
        <v>126.7</v>
      </c>
      <c r="F233" t="s">
        <v>1587</v>
      </c>
      <c r="G233" t="s">
        <v>1588</v>
      </c>
      <c r="H233" t="s">
        <v>1608</v>
      </c>
      <c r="I233" t="str">
        <f>IF(COUNTIF(Old_Patient_Records!$A$2:$A$549,Table4[[#This Row],[Patient_ID]])=0,"Orphan","Valid")</f>
        <v>Valid</v>
      </c>
    </row>
    <row r="234" spans="1:9" x14ac:dyDescent="0.35">
      <c r="A234" t="s">
        <v>2044</v>
      </c>
      <c r="B234" t="s">
        <v>732</v>
      </c>
      <c r="C234" t="s">
        <v>1591</v>
      </c>
      <c r="D234" t="s">
        <v>2045</v>
      </c>
      <c r="E234">
        <v>27.5</v>
      </c>
      <c r="F234" t="s">
        <v>1593</v>
      </c>
      <c r="G234" t="s">
        <v>1594</v>
      </c>
      <c r="H234" t="s">
        <v>1608</v>
      </c>
      <c r="I234" t="str">
        <f>IF(COUNTIF(Old_Patient_Records!$A$2:$A$549,Table4[[#This Row],[Patient_ID]])=0,"Orphan","Valid")</f>
        <v>Valid</v>
      </c>
    </row>
    <row r="235" spans="1:9" x14ac:dyDescent="0.35">
      <c r="A235" t="s">
        <v>2046</v>
      </c>
      <c r="B235" t="s">
        <v>275</v>
      </c>
      <c r="C235" t="s">
        <v>1614</v>
      </c>
      <c r="D235" t="s">
        <v>1275</v>
      </c>
      <c r="E235">
        <v>125.7</v>
      </c>
      <c r="F235" t="s">
        <v>1616</v>
      </c>
      <c r="G235" t="s">
        <v>1617</v>
      </c>
      <c r="H235" t="s">
        <v>1644</v>
      </c>
      <c r="I235" t="str">
        <f>IF(COUNTIF(Old_Patient_Records!$A$2:$A$549,Table4[[#This Row],[Patient_ID]])=0,"Orphan","Valid")</f>
        <v>Valid</v>
      </c>
    </row>
    <row r="236" spans="1:9" x14ac:dyDescent="0.35">
      <c r="A236" t="s">
        <v>2047</v>
      </c>
      <c r="B236" t="s">
        <v>331</v>
      </c>
      <c r="C236" t="s">
        <v>1585</v>
      </c>
      <c r="D236" t="s">
        <v>2048</v>
      </c>
      <c r="E236">
        <v>204.5</v>
      </c>
      <c r="F236" t="s">
        <v>1587</v>
      </c>
      <c r="G236" t="s">
        <v>1588</v>
      </c>
      <c r="H236" t="s">
        <v>1578</v>
      </c>
      <c r="I236" t="str">
        <f>IF(COUNTIF(Old_Patient_Records!$A$2:$A$549,Table4[[#This Row],[Patient_ID]])=0,"Orphan","Valid")</f>
        <v>Valid</v>
      </c>
    </row>
    <row r="237" spans="1:9" x14ac:dyDescent="0.35">
      <c r="A237" t="s">
        <v>2049</v>
      </c>
      <c r="B237" t="s">
        <v>132</v>
      </c>
      <c r="C237" t="s">
        <v>1569</v>
      </c>
      <c r="D237" t="s">
        <v>2050</v>
      </c>
      <c r="E237">
        <v>17.899999999999999</v>
      </c>
      <c r="F237" t="s">
        <v>1571</v>
      </c>
      <c r="G237" t="s">
        <v>1572</v>
      </c>
      <c r="H237" t="s">
        <v>1567</v>
      </c>
      <c r="I237" t="str">
        <f>IF(COUNTIF(Old_Patient_Records!$A$2:$A$549,Table4[[#This Row],[Patient_ID]])=0,"Orphan","Valid")</f>
        <v>Valid</v>
      </c>
    </row>
    <row r="238" spans="1:9" x14ac:dyDescent="0.35">
      <c r="A238" t="s">
        <v>2051</v>
      </c>
      <c r="B238" t="s">
        <v>726</v>
      </c>
      <c r="C238" t="s">
        <v>1580</v>
      </c>
      <c r="D238" t="s">
        <v>2052</v>
      </c>
      <c r="E238">
        <v>237.7</v>
      </c>
      <c r="F238" t="s">
        <v>1571</v>
      </c>
      <c r="G238" t="s">
        <v>1582</v>
      </c>
      <c r="H238" t="s">
        <v>1659</v>
      </c>
      <c r="I238" t="str">
        <f>IF(COUNTIF(Old_Patient_Records!$A$2:$A$549,Table4[[#This Row],[Patient_ID]])=0,"Orphan","Valid")</f>
        <v>Valid</v>
      </c>
    </row>
    <row r="239" spans="1:9" x14ac:dyDescent="0.35">
      <c r="A239" t="s">
        <v>2053</v>
      </c>
      <c r="B239" t="s">
        <v>1144</v>
      </c>
      <c r="C239" t="s">
        <v>1563</v>
      </c>
      <c r="D239" t="s">
        <v>2054</v>
      </c>
      <c r="E239">
        <v>9.6999999999999993</v>
      </c>
      <c r="F239" t="s">
        <v>1565</v>
      </c>
      <c r="G239" t="s">
        <v>1566</v>
      </c>
      <c r="H239" t="s">
        <v>1644</v>
      </c>
      <c r="I239" t="str">
        <f>IF(COUNTIF(Old_Patient_Records!$A$2:$A$549,Table4[[#This Row],[Patient_ID]])=0,"Orphan","Valid")</f>
        <v>Valid</v>
      </c>
    </row>
    <row r="240" spans="1:9" x14ac:dyDescent="0.35">
      <c r="A240" t="s">
        <v>2055</v>
      </c>
      <c r="B240" t="s">
        <v>567</v>
      </c>
      <c r="C240" t="s">
        <v>1591</v>
      </c>
      <c r="D240" t="s">
        <v>2056</v>
      </c>
      <c r="E240">
        <v>149.5</v>
      </c>
      <c r="F240" t="s">
        <v>1593</v>
      </c>
      <c r="G240" t="s">
        <v>1594</v>
      </c>
      <c r="H240" t="s">
        <v>1659</v>
      </c>
      <c r="I240" t="str">
        <f>IF(COUNTIF(Old_Patient_Records!$A$2:$A$549,Table4[[#This Row],[Patient_ID]])=0,"Orphan","Valid")</f>
        <v>Valid</v>
      </c>
    </row>
    <row r="241" spans="1:9" x14ac:dyDescent="0.35">
      <c r="A241" t="s">
        <v>2057</v>
      </c>
      <c r="B241" t="s">
        <v>1073</v>
      </c>
      <c r="C241" t="s">
        <v>1585</v>
      </c>
      <c r="D241" t="s">
        <v>2058</v>
      </c>
      <c r="E241">
        <v>129.69999999999999</v>
      </c>
      <c r="F241" t="s">
        <v>1587</v>
      </c>
      <c r="G241" t="s">
        <v>1588</v>
      </c>
      <c r="H241" t="s">
        <v>1589</v>
      </c>
      <c r="I241" t="str">
        <f>IF(COUNTIF(Old_Patient_Records!$A$2:$A$549,Table4[[#This Row],[Patient_ID]])=0,"Orphan","Valid")</f>
        <v>Valid</v>
      </c>
    </row>
    <row r="242" spans="1:9" x14ac:dyDescent="0.35">
      <c r="A242" t="s">
        <v>2059</v>
      </c>
      <c r="B242" t="s">
        <v>2060</v>
      </c>
      <c r="C242" t="s">
        <v>1591</v>
      </c>
      <c r="D242" t="s">
        <v>2061</v>
      </c>
      <c r="E242">
        <v>158.80000000000001</v>
      </c>
      <c r="F242" t="s">
        <v>1593</v>
      </c>
      <c r="G242" t="s">
        <v>1594</v>
      </c>
      <c r="H242" t="s">
        <v>1659</v>
      </c>
      <c r="I242" t="str">
        <f>IF(COUNTIF(Old_Patient_Records!$A$2:$A$549,Table4[[#This Row],[Patient_ID]])=0,"Orphan","Valid")</f>
        <v>Orphan</v>
      </c>
    </row>
    <row r="243" spans="1:9" x14ac:dyDescent="0.35">
      <c r="A243" t="s">
        <v>2062</v>
      </c>
      <c r="B243" t="s">
        <v>642</v>
      </c>
      <c r="C243" t="s">
        <v>1591</v>
      </c>
      <c r="D243" t="s">
        <v>2063</v>
      </c>
      <c r="E243">
        <v>189.8</v>
      </c>
      <c r="F243" t="s">
        <v>1593</v>
      </c>
      <c r="G243" t="s">
        <v>1594</v>
      </c>
      <c r="H243" t="s">
        <v>1573</v>
      </c>
      <c r="I243" t="str">
        <f>IF(COUNTIF(Old_Patient_Records!$A$2:$A$549,Table4[[#This Row],[Patient_ID]])=0,"Orphan","Valid")</f>
        <v>Valid</v>
      </c>
    </row>
    <row r="244" spans="1:9" x14ac:dyDescent="0.35">
      <c r="A244" t="s">
        <v>2064</v>
      </c>
      <c r="B244" t="s">
        <v>859</v>
      </c>
      <c r="C244" t="s">
        <v>1614</v>
      </c>
      <c r="D244" t="s">
        <v>2065</v>
      </c>
      <c r="E244">
        <v>115.7</v>
      </c>
      <c r="F244" t="s">
        <v>1616</v>
      </c>
      <c r="G244" t="s">
        <v>1617</v>
      </c>
      <c r="H244" t="s">
        <v>1578</v>
      </c>
      <c r="I244" t="str">
        <f>IF(COUNTIF(Old_Patient_Records!$A$2:$A$549,Table4[[#This Row],[Patient_ID]])=0,"Orphan","Valid")</f>
        <v>Valid</v>
      </c>
    </row>
    <row r="245" spans="1:9" x14ac:dyDescent="0.35">
      <c r="A245" t="s">
        <v>2066</v>
      </c>
      <c r="B245" t="s">
        <v>1120</v>
      </c>
      <c r="C245" t="s">
        <v>1569</v>
      </c>
      <c r="D245" t="s">
        <v>2067</v>
      </c>
      <c r="E245">
        <v>202.1</v>
      </c>
      <c r="F245" t="s">
        <v>1571</v>
      </c>
      <c r="G245" t="s">
        <v>1572</v>
      </c>
      <c r="H245" t="s">
        <v>1573</v>
      </c>
      <c r="I245" t="str">
        <f>IF(COUNTIF(Old_Patient_Records!$A$2:$A$549,Table4[[#This Row],[Patient_ID]])=0,"Orphan","Valid")</f>
        <v>Valid</v>
      </c>
    </row>
    <row r="246" spans="1:9" x14ac:dyDescent="0.35">
      <c r="A246" t="s">
        <v>2068</v>
      </c>
      <c r="B246" t="s">
        <v>905</v>
      </c>
      <c r="C246" t="s">
        <v>1585</v>
      </c>
      <c r="D246" t="s">
        <v>2069</v>
      </c>
      <c r="E246">
        <v>93.4</v>
      </c>
      <c r="F246" t="s">
        <v>1587</v>
      </c>
      <c r="G246" t="s">
        <v>1588</v>
      </c>
      <c r="H246" t="s">
        <v>1573</v>
      </c>
      <c r="I246" t="str">
        <f>IF(COUNTIF(Old_Patient_Records!$A$2:$A$549,Table4[[#This Row],[Patient_ID]])=0,"Orphan","Valid")</f>
        <v>Valid</v>
      </c>
    </row>
    <row r="247" spans="1:9" x14ac:dyDescent="0.35">
      <c r="A247" t="s">
        <v>2070</v>
      </c>
      <c r="B247" t="s">
        <v>922</v>
      </c>
      <c r="C247" t="s">
        <v>1569</v>
      </c>
      <c r="D247" t="s">
        <v>2071</v>
      </c>
      <c r="E247">
        <v>8</v>
      </c>
      <c r="F247" t="s">
        <v>1571</v>
      </c>
      <c r="G247" t="s">
        <v>1572</v>
      </c>
      <c r="I247" t="str">
        <f>IF(COUNTIF(Old_Patient_Records!$A$2:$A$549,Table4[[#This Row],[Patient_ID]])=0,"Orphan","Valid")</f>
        <v>Valid</v>
      </c>
    </row>
    <row r="248" spans="1:9" x14ac:dyDescent="0.35">
      <c r="A248" t="s">
        <v>2072</v>
      </c>
      <c r="B248" t="s">
        <v>969</v>
      </c>
      <c r="C248" t="s">
        <v>1585</v>
      </c>
      <c r="D248" t="s">
        <v>2073</v>
      </c>
      <c r="E248">
        <v>117.2</v>
      </c>
      <c r="F248" t="s">
        <v>1587</v>
      </c>
      <c r="G248" t="s">
        <v>1588</v>
      </c>
      <c r="I248" t="str">
        <f>IF(COUNTIF(Old_Patient_Records!$A$2:$A$549,Table4[[#This Row],[Patient_ID]])=0,"Orphan","Valid")</f>
        <v>Valid</v>
      </c>
    </row>
    <row r="249" spans="1:9" x14ac:dyDescent="0.35">
      <c r="A249" t="s">
        <v>2074</v>
      </c>
      <c r="B249" t="s">
        <v>766</v>
      </c>
      <c r="C249" t="s">
        <v>1591</v>
      </c>
      <c r="D249" t="s">
        <v>2075</v>
      </c>
      <c r="E249">
        <v>24</v>
      </c>
      <c r="F249" t="s">
        <v>1593</v>
      </c>
      <c r="G249" t="s">
        <v>1594</v>
      </c>
      <c r="H249" t="s">
        <v>1567</v>
      </c>
      <c r="I249" t="str">
        <f>IF(COUNTIF(Old_Patient_Records!$A$2:$A$549,Table4[[#This Row],[Patient_ID]])=0,"Orphan","Valid")</f>
        <v>Valid</v>
      </c>
    </row>
    <row r="250" spans="1:9" x14ac:dyDescent="0.35">
      <c r="A250" t="s">
        <v>2076</v>
      </c>
      <c r="B250" t="s">
        <v>14</v>
      </c>
      <c r="C250" t="s">
        <v>1580</v>
      </c>
      <c r="D250" t="s">
        <v>2077</v>
      </c>
      <c r="E250">
        <v>79.3</v>
      </c>
      <c r="F250" t="s">
        <v>1571</v>
      </c>
      <c r="G250" t="s">
        <v>1582</v>
      </c>
      <c r="H250" t="s">
        <v>1567</v>
      </c>
      <c r="I250" t="str">
        <f>IF(COUNTIF(Old_Patient_Records!$A$2:$A$549,Table4[[#This Row],[Patient_ID]])=0,"Orphan","Valid")</f>
        <v>Valid</v>
      </c>
    </row>
    <row r="251" spans="1:9" x14ac:dyDescent="0.35">
      <c r="A251" t="s">
        <v>2078</v>
      </c>
      <c r="B251" t="s">
        <v>614</v>
      </c>
      <c r="C251" t="s">
        <v>1563</v>
      </c>
      <c r="D251" t="s">
        <v>2079</v>
      </c>
      <c r="E251">
        <v>242.9</v>
      </c>
      <c r="F251" t="s">
        <v>1565</v>
      </c>
      <c r="G251" t="s">
        <v>1566</v>
      </c>
      <c r="H251" t="s">
        <v>1573</v>
      </c>
      <c r="I251" t="str">
        <f>IF(COUNTIF(Old_Patient_Records!$A$2:$A$549,Table4[[#This Row],[Patient_ID]])=0,"Orphan","Valid")</f>
        <v>Valid</v>
      </c>
    </row>
    <row r="252" spans="1:9" x14ac:dyDescent="0.35">
      <c r="A252" t="s">
        <v>2080</v>
      </c>
      <c r="B252" t="s">
        <v>890</v>
      </c>
      <c r="C252" t="s">
        <v>1614</v>
      </c>
      <c r="D252" t="s">
        <v>2081</v>
      </c>
      <c r="E252">
        <v>193.8</v>
      </c>
      <c r="F252" t="s">
        <v>1616</v>
      </c>
      <c r="G252" t="s">
        <v>1617</v>
      </c>
      <c r="H252" t="s">
        <v>1573</v>
      </c>
      <c r="I252" t="str">
        <f>IF(COUNTIF(Old_Patient_Records!$A$2:$A$549,Table4[[#This Row],[Patient_ID]])=0,"Orphan","Valid")</f>
        <v>Valid</v>
      </c>
    </row>
    <row r="253" spans="1:9" x14ac:dyDescent="0.35">
      <c r="A253" t="s">
        <v>2082</v>
      </c>
      <c r="B253" t="s">
        <v>651</v>
      </c>
      <c r="C253" t="s">
        <v>1614</v>
      </c>
      <c r="D253" t="s">
        <v>2083</v>
      </c>
      <c r="E253">
        <v>34.5</v>
      </c>
      <c r="F253" t="s">
        <v>1616</v>
      </c>
      <c r="G253" t="s">
        <v>1617</v>
      </c>
      <c r="H253" t="s">
        <v>1589</v>
      </c>
      <c r="I253" t="str">
        <f>IF(COUNTIF(Old_Patient_Records!$A$2:$A$549,Table4[[#This Row],[Patient_ID]])=0,"Orphan","Valid")</f>
        <v>Valid</v>
      </c>
    </row>
    <row r="254" spans="1:9" x14ac:dyDescent="0.35">
      <c r="A254" t="s">
        <v>2084</v>
      </c>
      <c r="B254" t="s">
        <v>732</v>
      </c>
      <c r="C254" t="s">
        <v>1580</v>
      </c>
      <c r="D254" t="s">
        <v>2085</v>
      </c>
      <c r="E254">
        <v>116.5</v>
      </c>
      <c r="F254" t="s">
        <v>1571</v>
      </c>
      <c r="G254" t="s">
        <v>1582</v>
      </c>
      <c r="H254" t="s">
        <v>1567</v>
      </c>
      <c r="I254" t="str">
        <f>IF(COUNTIF(Old_Patient_Records!$A$2:$A$549,Table4[[#This Row],[Patient_ID]])=0,"Orphan","Valid")</f>
        <v>Valid</v>
      </c>
    </row>
    <row r="255" spans="1:9" x14ac:dyDescent="0.35">
      <c r="A255" t="s">
        <v>2086</v>
      </c>
      <c r="B255" t="s">
        <v>257</v>
      </c>
      <c r="C255" t="s">
        <v>1585</v>
      </c>
      <c r="D255" t="s">
        <v>1697</v>
      </c>
      <c r="E255">
        <v>184.2</v>
      </c>
      <c r="F255" t="s">
        <v>1587</v>
      </c>
      <c r="G255" t="s">
        <v>1588</v>
      </c>
      <c r="H255" t="s">
        <v>1644</v>
      </c>
      <c r="I255" t="str">
        <f>IF(COUNTIF(Old_Patient_Records!$A$2:$A$549,Table4[[#This Row],[Patient_ID]])=0,"Orphan","Valid")</f>
        <v>Valid</v>
      </c>
    </row>
    <row r="256" spans="1:9" x14ac:dyDescent="0.35">
      <c r="A256" t="s">
        <v>2087</v>
      </c>
      <c r="B256" t="s">
        <v>2088</v>
      </c>
      <c r="C256" t="s">
        <v>1580</v>
      </c>
      <c r="D256" t="s">
        <v>667</v>
      </c>
      <c r="E256">
        <v>111</v>
      </c>
      <c r="F256" t="s">
        <v>1571</v>
      </c>
      <c r="G256" t="s">
        <v>1582</v>
      </c>
      <c r="H256" t="s">
        <v>1567</v>
      </c>
      <c r="I256" t="str">
        <f>IF(COUNTIF(Old_Patient_Records!$A$2:$A$549,Table4[[#This Row],[Patient_ID]])=0,"Orphan","Valid")</f>
        <v>Orphan</v>
      </c>
    </row>
    <row r="257" spans="1:9" x14ac:dyDescent="0.35">
      <c r="A257" t="s">
        <v>2089</v>
      </c>
      <c r="B257" t="s">
        <v>846</v>
      </c>
      <c r="C257" t="s">
        <v>1585</v>
      </c>
      <c r="D257" t="s">
        <v>2090</v>
      </c>
      <c r="E257">
        <v>178.9</v>
      </c>
      <c r="F257" t="s">
        <v>1587</v>
      </c>
      <c r="G257" t="s">
        <v>1588</v>
      </c>
      <c r="H257" t="s">
        <v>1567</v>
      </c>
      <c r="I257" t="str">
        <f>IF(COUNTIF(Old_Patient_Records!$A$2:$A$549,Table4[[#This Row],[Patient_ID]])=0,"Orphan","Valid")</f>
        <v>Valid</v>
      </c>
    </row>
    <row r="258" spans="1:9" x14ac:dyDescent="0.35">
      <c r="A258" t="s">
        <v>2091</v>
      </c>
      <c r="B258" t="s">
        <v>605</v>
      </c>
      <c r="C258" t="s">
        <v>1585</v>
      </c>
      <c r="D258" t="s">
        <v>2092</v>
      </c>
      <c r="E258">
        <v>62.5</v>
      </c>
      <c r="F258" t="s">
        <v>1587</v>
      </c>
      <c r="G258" t="s">
        <v>1588</v>
      </c>
      <c r="H258" t="s">
        <v>1567</v>
      </c>
      <c r="I258" t="str">
        <f>IF(COUNTIF(Old_Patient_Records!$A$2:$A$549,Table4[[#This Row],[Patient_ID]])=0,"Orphan","Valid")</f>
        <v>Valid</v>
      </c>
    </row>
    <row r="259" spans="1:9" x14ac:dyDescent="0.35">
      <c r="A259" t="s">
        <v>2093</v>
      </c>
      <c r="B259" t="s">
        <v>1248</v>
      </c>
      <c r="C259" t="s">
        <v>1591</v>
      </c>
      <c r="D259" t="s">
        <v>2094</v>
      </c>
      <c r="E259">
        <v>141.9</v>
      </c>
      <c r="F259" t="s">
        <v>1593</v>
      </c>
      <c r="G259" t="s">
        <v>1594</v>
      </c>
      <c r="H259" t="s">
        <v>1567</v>
      </c>
      <c r="I259" t="str">
        <f>IF(COUNTIF(Old_Patient_Records!$A$2:$A$549,Table4[[#This Row],[Patient_ID]])=0,"Orphan","Valid")</f>
        <v>Valid</v>
      </c>
    </row>
    <row r="260" spans="1:9" x14ac:dyDescent="0.35">
      <c r="A260" t="s">
        <v>2095</v>
      </c>
      <c r="B260" t="s">
        <v>1073</v>
      </c>
      <c r="C260" t="s">
        <v>1563</v>
      </c>
      <c r="D260" t="s">
        <v>2096</v>
      </c>
      <c r="E260">
        <v>116.8</v>
      </c>
      <c r="F260" t="s">
        <v>1565</v>
      </c>
      <c r="G260" t="s">
        <v>1566</v>
      </c>
      <c r="H260" t="s">
        <v>1659</v>
      </c>
      <c r="I260" t="str">
        <f>IF(COUNTIF(Old_Patient_Records!$A$2:$A$549,Table4[[#This Row],[Patient_ID]])=0,"Orphan","Valid")</f>
        <v>Valid</v>
      </c>
    </row>
    <row r="261" spans="1:9" x14ac:dyDescent="0.35">
      <c r="A261" t="s">
        <v>2097</v>
      </c>
      <c r="B261" t="s">
        <v>487</v>
      </c>
      <c r="C261" t="s">
        <v>1585</v>
      </c>
      <c r="D261" t="s">
        <v>2098</v>
      </c>
      <c r="E261">
        <v>83.6</v>
      </c>
      <c r="F261" t="s">
        <v>1587</v>
      </c>
      <c r="G261" t="s">
        <v>1588</v>
      </c>
      <c r="H261" t="s">
        <v>1644</v>
      </c>
      <c r="I261" t="str">
        <f>IF(COUNTIF(Old_Patient_Records!$A$2:$A$549,Table4[[#This Row],[Patient_ID]])=0,"Orphan","Valid")</f>
        <v>Valid</v>
      </c>
    </row>
    <row r="262" spans="1:9" x14ac:dyDescent="0.35">
      <c r="A262" t="s">
        <v>2099</v>
      </c>
      <c r="B262" t="s">
        <v>1019</v>
      </c>
      <c r="C262" t="s">
        <v>1563</v>
      </c>
      <c r="D262" t="s">
        <v>2100</v>
      </c>
      <c r="E262">
        <v>193</v>
      </c>
      <c r="F262" t="s">
        <v>1565</v>
      </c>
      <c r="G262" t="s">
        <v>1566</v>
      </c>
      <c r="H262" t="s">
        <v>1583</v>
      </c>
      <c r="I262" t="str">
        <f>IF(COUNTIF(Old_Patient_Records!$A$2:$A$549,Table4[[#This Row],[Patient_ID]])=0,"Orphan","Valid")</f>
        <v>Valid</v>
      </c>
    </row>
    <row r="263" spans="1:9" x14ac:dyDescent="0.35">
      <c r="A263" t="s">
        <v>2101</v>
      </c>
      <c r="B263" t="s">
        <v>1240</v>
      </c>
      <c r="C263" t="s">
        <v>1614</v>
      </c>
      <c r="D263" t="s">
        <v>401</v>
      </c>
      <c r="E263">
        <v>26.2</v>
      </c>
      <c r="F263" t="s">
        <v>1616</v>
      </c>
      <c r="G263" t="s">
        <v>1617</v>
      </c>
      <c r="H263" t="s">
        <v>1659</v>
      </c>
      <c r="I263" t="str">
        <f>IF(COUNTIF(Old_Patient_Records!$A$2:$A$549,Table4[[#This Row],[Patient_ID]])=0,"Orphan","Valid")</f>
        <v>Valid</v>
      </c>
    </row>
    <row r="264" spans="1:9" x14ac:dyDescent="0.35">
      <c r="A264" t="s">
        <v>2102</v>
      </c>
      <c r="B264" t="s">
        <v>537</v>
      </c>
      <c r="C264" t="s">
        <v>1585</v>
      </c>
      <c r="D264" t="s">
        <v>2103</v>
      </c>
      <c r="E264">
        <v>223</v>
      </c>
      <c r="F264" t="s">
        <v>1587</v>
      </c>
      <c r="G264" t="s">
        <v>1588</v>
      </c>
      <c r="H264" t="s">
        <v>1659</v>
      </c>
      <c r="I264" t="str">
        <f>IF(COUNTIF(Old_Patient_Records!$A$2:$A$549,Table4[[#This Row],[Patient_ID]])=0,"Orphan","Valid")</f>
        <v>Valid</v>
      </c>
    </row>
    <row r="265" spans="1:9" x14ac:dyDescent="0.35">
      <c r="A265" t="s">
        <v>2104</v>
      </c>
      <c r="B265" t="s">
        <v>524</v>
      </c>
      <c r="C265" t="s">
        <v>1591</v>
      </c>
      <c r="D265" t="s">
        <v>2105</v>
      </c>
      <c r="E265">
        <v>213.5</v>
      </c>
      <c r="F265" t="s">
        <v>1593</v>
      </c>
      <c r="G265" t="s">
        <v>1594</v>
      </c>
      <c r="H265" t="s">
        <v>1644</v>
      </c>
      <c r="I265" t="str">
        <f>IF(COUNTIF(Old_Patient_Records!$A$2:$A$549,Table4[[#This Row],[Patient_ID]])=0,"Orphan","Valid")</f>
        <v>Valid</v>
      </c>
    </row>
    <row r="266" spans="1:9" x14ac:dyDescent="0.35">
      <c r="A266" t="s">
        <v>2106</v>
      </c>
      <c r="B266" t="s">
        <v>390</v>
      </c>
      <c r="C266" t="s">
        <v>1580</v>
      </c>
      <c r="D266" t="s">
        <v>2107</v>
      </c>
      <c r="E266">
        <v>247.7</v>
      </c>
      <c r="F266" t="s">
        <v>1571</v>
      </c>
      <c r="G266" t="s">
        <v>1582</v>
      </c>
      <c r="H266" t="s">
        <v>1567</v>
      </c>
      <c r="I266" t="str">
        <f>IF(COUNTIF(Old_Patient_Records!$A$2:$A$549,Table4[[#This Row],[Patient_ID]])=0,"Orphan","Valid")</f>
        <v>Valid</v>
      </c>
    </row>
    <row r="267" spans="1:9" x14ac:dyDescent="0.35">
      <c r="A267" t="s">
        <v>2108</v>
      </c>
      <c r="B267" t="s">
        <v>537</v>
      </c>
      <c r="C267" t="s">
        <v>1563</v>
      </c>
      <c r="D267" t="s">
        <v>2109</v>
      </c>
      <c r="E267">
        <v>186.2</v>
      </c>
      <c r="F267" t="s">
        <v>1565</v>
      </c>
      <c r="G267" t="s">
        <v>1566</v>
      </c>
      <c r="H267" t="s">
        <v>1608</v>
      </c>
      <c r="I267" t="str">
        <f>IF(COUNTIF(Old_Patient_Records!$A$2:$A$549,Table4[[#This Row],[Patient_ID]])=0,"Orphan","Valid")</f>
        <v>Valid</v>
      </c>
    </row>
    <row r="268" spans="1:9" x14ac:dyDescent="0.35">
      <c r="A268" t="s">
        <v>2110</v>
      </c>
      <c r="B268" t="s">
        <v>1089</v>
      </c>
      <c r="C268" t="s">
        <v>1563</v>
      </c>
      <c r="D268" t="s">
        <v>2111</v>
      </c>
      <c r="E268">
        <v>139.4</v>
      </c>
      <c r="F268" t="s">
        <v>1565</v>
      </c>
      <c r="G268" t="s">
        <v>1566</v>
      </c>
      <c r="H268" t="s">
        <v>1659</v>
      </c>
      <c r="I268" t="str">
        <f>IF(COUNTIF(Old_Patient_Records!$A$2:$A$549,Table4[[#This Row],[Patient_ID]])=0,"Orphan","Valid")</f>
        <v>Valid</v>
      </c>
    </row>
    <row r="269" spans="1:9" x14ac:dyDescent="0.35">
      <c r="A269" t="s">
        <v>2112</v>
      </c>
      <c r="B269" t="s">
        <v>374</v>
      </c>
      <c r="C269" t="s">
        <v>1585</v>
      </c>
      <c r="D269" t="s">
        <v>2113</v>
      </c>
      <c r="E269">
        <v>60.3</v>
      </c>
      <c r="F269" t="s">
        <v>1587</v>
      </c>
      <c r="G269" t="s">
        <v>1588</v>
      </c>
      <c r="H269" t="s">
        <v>1578</v>
      </c>
      <c r="I269" t="str">
        <f>IF(COUNTIF(Old_Patient_Records!$A$2:$A$549,Table4[[#This Row],[Patient_ID]])=0,"Orphan","Valid")</f>
        <v>Valid</v>
      </c>
    </row>
    <row r="270" spans="1:9" x14ac:dyDescent="0.35">
      <c r="A270" t="s">
        <v>2114</v>
      </c>
      <c r="B270" t="s">
        <v>2115</v>
      </c>
      <c r="C270" t="s">
        <v>1585</v>
      </c>
      <c r="D270" t="s">
        <v>2116</v>
      </c>
      <c r="E270">
        <v>199.4</v>
      </c>
      <c r="F270" t="s">
        <v>1587</v>
      </c>
      <c r="G270" t="s">
        <v>1588</v>
      </c>
      <c r="H270" t="s">
        <v>1589</v>
      </c>
      <c r="I270" t="str">
        <f>IF(COUNTIF(Old_Patient_Records!$A$2:$A$549,Table4[[#This Row],[Patient_ID]])=0,"Orphan","Valid")</f>
        <v>Orphan</v>
      </c>
    </row>
    <row r="271" spans="1:9" x14ac:dyDescent="0.35">
      <c r="A271" t="s">
        <v>2117</v>
      </c>
      <c r="B271" t="s">
        <v>912</v>
      </c>
      <c r="C271" t="s">
        <v>1580</v>
      </c>
      <c r="D271" t="s">
        <v>2118</v>
      </c>
      <c r="E271">
        <v>64.2</v>
      </c>
      <c r="F271" t="s">
        <v>1571</v>
      </c>
      <c r="G271" t="s">
        <v>1582</v>
      </c>
      <c r="H271" t="s">
        <v>1608</v>
      </c>
      <c r="I271" t="str">
        <f>IF(COUNTIF(Old_Patient_Records!$A$2:$A$549,Table4[[#This Row],[Patient_ID]])=0,"Orphan","Valid")</f>
        <v>Valid</v>
      </c>
    </row>
    <row r="272" spans="1:9" x14ac:dyDescent="0.35">
      <c r="A272" t="s">
        <v>2119</v>
      </c>
      <c r="B272" t="s">
        <v>2120</v>
      </c>
      <c r="C272" t="s">
        <v>1569</v>
      </c>
      <c r="D272" t="s">
        <v>2121</v>
      </c>
      <c r="E272">
        <v>12.6</v>
      </c>
      <c r="F272" t="s">
        <v>1571</v>
      </c>
      <c r="G272" t="s">
        <v>1572</v>
      </c>
      <c r="H272" t="s">
        <v>1608</v>
      </c>
      <c r="I272" t="str">
        <f>IF(COUNTIF(Old_Patient_Records!$A$2:$A$549,Table4[[#This Row],[Patient_ID]])=0,"Orphan","Valid")</f>
        <v>Orphan</v>
      </c>
    </row>
    <row r="273" spans="1:9" x14ac:dyDescent="0.35">
      <c r="A273" t="s">
        <v>2122</v>
      </c>
      <c r="B273" t="s">
        <v>411</v>
      </c>
      <c r="C273" t="s">
        <v>1580</v>
      </c>
      <c r="D273" t="s">
        <v>2123</v>
      </c>
      <c r="E273">
        <v>108.4</v>
      </c>
      <c r="F273" t="s">
        <v>1571</v>
      </c>
      <c r="G273" t="s">
        <v>1582</v>
      </c>
      <c r="H273" t="s">
        <v>1573</v>
      </c>
      <c r="I273" t="str">
        <f>IF(COUNTIF(Old_Patient_Records!$A$2:$A$549,Table4[[#This Row],[Patient_ID]])=0,"Orphan","Valid")</f>
        <v>Valid</v>
      </c>
    </row>
    <row r="274" spans="1:9" x14ac:dyDescent="0.35">
      <c r="A274" t="s">
        <v>2124</v>
      </c>
      <c r="B274" t="s">
        <v>662</v>
      </c>
      <c r="C274" t="s">
        <v>1563</v>
      </c>
      <c r="D274" t="s">
        <v>2125</v>
      </c>
      <c r="E274">
        <v>79.400000000000006</v>
      </c>
      <c r="F274" t="s">
        <v>1565</v>
      </c>
      <c r="G274" t="s">
        <v>1566</v>
      </c>
      <c r="H274" t="s">
        <v>1567</v>
      </c>
      <c r="I274" t="str">
        <f>IF(COUNTIF(Old_Patient_Records!$A$2:$A$549,Table4[[#This Row],[Patient_ID]])=0,"Orphan","Valid")</f>
        <v>Valid</v>
      </c>
    </row>
    <row r="275" spans="1:9" x14ac:dyDescent="0.35">
      <c r="A275" t="s">
        <v>2126</v>
      </c>
      <c r="B275" t="s">
        <v>159</v>
      </c>
      <c r="C275" t="s">
        <v>1585</v>
      </c>
      <c r="D275" t="s">
        <v>2127</v>
      </c>
      <c r="E275">
        <v>127.5</v>
      </c>
      <c r="F275" t="s">
        <v>1587</v>
      </c>
      <c r="G275" t="s">
        <v>1588</v>
      </c>
      <c r="I275" t="str">
        <f>IF(COUNTIF(Old_Patient_Records!$A$2:$A$549,Table4[[#This Row],[Patient_ID]])=0,"Orphan","Valid")</f>
        <v>Valid</v>
      </c>
    </row>
    <row r="276" spans="1:9" x14ac:dyDescent="0.35">
      <c r="A276" t="s">
        <v>2128</v>
      </c>
      <c r="B276" t="s">
        <v>351</v>
      </c>
      <c r="C276" t="s">
        <v>1614</v>
      </c>
      <c r="D276" t="s">
        <v>2129</v>
      </c>
      <c r="E276">
        <v>108.6</v>
      </c>
      <c r="F276" t="s">
        <v>1616</v>
      </c>
      <c r="G276" t="s">
        <v>1617</v>
      </c>
      <c r="I276" t="str">
        <f>IF(COUNTIF(Old_Patient_Records!$A$2:$A$549,Table4[[#This Row],[Patient_ID]])=0,"Orphan","Valid")</f>
        <v>Valid</v>
      </c>
    </row>
    <row r="277" spans="1:9" x14ac:dyDescent="0.35">
      <c r="A277" t="s">
        <v>2130</v>
      </c>
      <c r="B277" t="s">
        <v>1383</v>
      </c>
      <c r="C277" t="s">
        <v>1580</v>
      </c>
      <c r="D277" t="s">
        <v>274</v>
      </c>
      <c r="E277">
        <v>191</v>
      </c>
      <c r="F277" t="s">
        <v>1571</v>
      </c>
      <c r="G277" t="s">
        <v>1582</v>
      </c>
      <c r="H277" t="s">
        <v>1608</v>
      </c>
      <c r="I277" t="str">
        <f>IF(COUNTIF(Old_Patient_Records!$A$2:$A$549,Table4[[#This Row],[Patient_ID]])=0,"Orphan","Valid")</f>
        <v>Valid</v>
      </c>
    </row>
    <row r="278" spans="1:9" x14ac:dyDescent="0.35">
      <c r="A278" t="s">
        <v>2131</v>
      </c>
      <c r="B278" t="s">
        <v>341</v>
      </c>
      <c r="C278" t="s">
        <v>1580</v>
      </c>
      <c r="D278" t="s">
        <v>2132</v>
      </c>
      <c r="E278">
        <v>116.4</v>
      </c>
      <c r="F278" t="s">
        <v>1571</v>
      </c>
      <c r="G278" t="s">
        <v>1582</v>
      </c>
      <c r="I278" t="str">
        <f>IF(COUNTIF(Old_Patient_Records!$A$2:$A$549,Table4[[#This Row],[Patient_ID]])=0,"Orphan","Valid")</f>
        <v>Valid</v>
      </c>
    </row>
    <row r="279" spans="1:9" x14ac:dyDescent="0.35">
      <c r="A279" t="s">
        <v>2133</v>
      </c>
      <c r="B279" t="s">
        <v>1287</v>
      </c>
      <c r="C279" t="s">
        <v>1580</v>
      </c>
      <c r="D279" t="s">
        <v>1959</v>
      </c>
      <c r="E279">
        <v>58.1</v>
      </c>
      <c r="F279" t="s">
        <v>1571</v>
      </c>
      <c r="G279" t="s">
        <v>1582</v>
      </c>
      <c r="H279" t="s">
        <v>1589</v>
      </c>
      <c r="I279" t="str">
        <f>IF(COUNTIF(Old_Patient_Records!$A$2:$A$549,Table4[[#This Row],[Patient_ID]])=0,"Orphan","Valid")</f>
        <v>Valid</v>
      </c>
    </row>
    <row r="280" spans="1:9" x14ac:dyDescent="0.35">
      <c r="A280" t="s">
        <v>2134</v>
      </c>
      <c r="B280" t="s">
        <v>148</v>
      </c>
      <c r="C280" t="s">
        <v>1591</v>
      </c>
      <c r="D280" t="s">
        <v>2135</v>
      </c>
      <c r="E280">
        <v>234.2</v>
      </c>
      <c r="F280" t="s">
        <v>1593</v>
      </c>
      <c r="G280" t="s">
        <v>1594</v>
      </c>
      <c r="I280" t="str">
        <f>IF(COUNTIF(Old_Patient_Records!$A$2:$A$549,Table4[[#This Row],[Patient_ID]])=0,"Orphan","Valid")</f>
        <v>Valid</v>
      </c>
    </row>
    <row r="281" spans="1:9" x14ac:dyDescent="0.35">
      <c r="A281" t="s">
        <v>2136</v>
      </c>
      <c r="B281" t="s">
        <v>1123</v>
      </c>
      <c r="C281" t="s">
        <v>1563</v>
      </c>
      <c r="D281" t="s">
        <v>2137</v>
      </c>
      <c r="E281">
        <v>201.3</v>
      </c>
      <c r="F281" t="s">
        <v>1565</v>
      </c>
      <c r="G281" t="s">
        <v>1566</v>
      </c>
      <c r="H281" t="s">
        <v>1608</v>
      </c>
      <c r="I281" t="str">
        <f>IF(COUNTIF(Old_Patient_Records!$A$2:$A$549,Table4[[#This Row],[Patient_ID]])=0,"Orphan","Valid")</f>
        <v>Valid</v>
      </c>
    </row>
    <row r="282" spans="1:9" x14ac:dyDescent="0.35">
      <c r="A282" t="s">
        <v>2138</v>
      </c>
      <c r="B282" t="s">
        <v>565</v>
      </c>
      <c r="C282" t="s">
        <v>1585</v>
      </c>
      <c r="D282" t="s">
        <v>2139</v>
      </c>
      <c r="E282">
        <v>226.1</v>
      </c>
      <c r="F282" t="s">
        <v>1587</v>
      </c>
      <c r="G282" t="s">
        <v>1588</v>
      </c>
      <c r="H282" t="s">
        <v>1573</v>
      </c>
      <c r="I282" t="str">
        <f>IF(COUNTIF(Old_Patient_Records!$A$2:$A$549,Table4[[#This Row],[Patient_ID]])=0,"Orphan","Valid")</f>
        <v>Valid</v>
      </c>
    </row>
    <row r="283" spans="1:9" x14ac:dyDescent="0.35">
      <c r="A283" t="s">
        <v>2140</v>
      </c>
      <c r="B283" t="s">
        <v>385</v>
      </c>
      <c r="C283" t="s">
        <v>1591</v>
      </c>
      <c r="D283" t="s">
        <v>2141</v>
      </c>
      <c r="E283">
        <v>173.3</v>
      </c>
      <c r="F283" t="s">
        <v>1593</v>
      </c>
      <c r="G283" t="s">
        <v>1594</v>
      </c>
      <c r="I283" t="str">
        <f>IF(COUNTIF(Old_Patient_Records!$A$2:$A$549,Table4[[#This Row],[Patient_ID]])=0,"Orphan","Valid")</f>
        <v>Valid</v>
      </c>
    </row>
    <row r="284" spans="1:9" x14ac:dyDescent="0.35">
      <c r="A284" t="s">
        <v>2142</v>
      </c>
      <c r="B284" t="s">
        <v>1120</v>
      </c>
      <c r="C284" t="s">
        <v>1614</v>
      </c>
      <c r="D284" t="s">
        <v>2143</v>
      </c>
      <c r="E284">
        <v>195.1</v>
      </c>
      <c r="F284" t="s">
        <v>1616</v>
      </c>
      <c r="G284" t="s">
        <v>1617</v>
      </c>
      <c r="H284" t="s">
        <v>1567</v>
      </c>
      <c r="I284" t="str">
        <f>IF(COUNTIF(Old_Patient_Records!$A$2:$A$549,Table4[[#This Row],[Patient_ID]])=0,"Orphan","Valid")</f>
        <v>Valid</v>
      </c>
    </row>
    <row r="285" spans="1:9" x14ac:dyDescent="0.35">
      <c r="A285" t="s">
        <v>2144</v>
      </c>
      <c r="B285" t="s">
        <v>1001</v>
      </c>
      <c r="C285" t="s">
        <v>1563</v>
      </c>
      <c r="D285" t="s">
        <v>392</v>
      </c>
      <c r="E285">
        <v>217.1</v>
      </c>
      <c r="F285" t="s">
        <v>1565</v>
      </c>
      <c r="G285" t="s">
        <v>1566</v>
      </c>
      <c r="I285" t="str">
        <f>IF(COUNTIF(Old_Patient_Records!$A$2:$A$549,Table4[[#This Row],[Patient_ID]])=0,"Orphan","Valid")</f>
        <v>Valid</v>
      </c>
    </row>
    <row r="286" spans="1:9" x14ac:dyDescent="0.35">
      <c r="A286" t="s">
        <v>2145</v>
      </c>
      <c r="B286" t="s">
        <v>402</v>
      </c>
      <c r="C286" t="s">
        <v>1585</v>
      </c>
      <c r="D286" t="s">
        <v>2146</v>
      </c>
      <c r="E286">
        <v>29.9</v>
      </c>
      <c r="F286" t="s">
        <v>1587</v>
      </c>
      <c r="G286" t="s">
        <v>1588</v>
      </c>
      <c r="I286" t="str">
        <f>IF(COUNTIF(Old_Patient_Records!$A$2:$A$549,Table4[[#This Row],[Patient_ID]])=0,"Orphan","Valid")</f>
        <v>Valid</v>
      </c>
    </row>
    <row r="287" spans="1:9" x14ac:dyDescent="0.35">
      <c r="A287" t="s">
        <v>2147</v>
      </c>
      <c r="B287" t="s">
        <v>1234</v>
      </c>
      <c r="C287" t="s">
        <v>1563</v>
      </c>
      <c r="D287" t="s">
        <v>956</v>
      </c>
      <c r="E287">
        <v>10</v>
      </c>
      <c r="F287" t="s">
        <v>1565</v>
      </c>
      <c r="G287" t="s">
        <v>1566</v>
      </c>
      <c r="H287" t="s">
        <v>1583</v>
      </c>
      <c r="I287" t="str">
        <f>IF(COUNTIF(Old_Patient_Records!$A$2:$A$549,Table4[[#This Row],[Patient_ID]])=0,"Orphan","Valid")</f>
        <v>Valid</v>
      </c>
    </row>
    <row r="288" spans="1:9" x14ac:dyDescent="0.35">
      <c r="A288" t="s">
        <v>2148</v>
      </c>
      <c r="B288" t="s">
        <v>165</v>
      </c>
      <c r="C288" t="s">
        <v>1580</v>
      </c>
      <c r="D288" t="s">
        <v>2149</v>
      </c>
      <c r="E288">
        <v>73.3</v>
      </c>
      <c r="F288" t="s">
        <v>1571</v>
      </c>
      <c r="G288" t="s">
        <v>1582</v>
      </c>
      <c r="H288" t="s">
        <v>1608</v>
      </c>
      <c r="I288" t="str">
        <f>IF(COUNTIF(Old_Patient_Records!$A$2:$A$549,Table4[[#This Row],[Patient_ID]])=0,"Orphan","Valid")</f>
        <v>Valid</v>
      </c>
    </row>
    <row r="289" spans="1:9" x14ac:dyDescent="0.35">
      <c r="A289" t="s">
        <v>2150</v>
      </c>
      <c r="B289" t="s">
        <v>1048</v>
      </c>
      <c r="C289" t="s">
        <v>1580</v>
      </c>
      <c r="D289" t="s">
        <v>2151</v>
      </c>
      <c r="E289">
        <v>121.3</v>
      </c>
      <c r="F289" t="s">
        <v>1571</v>
      </c>
      <c r="G289" t="s">
        <v>1582</v>
      </c>
      <c r="H289" t="s">
        <v>1608</v>
      </c>
      <c r="I289" t="str">
        <f>IF(COUNTIF(Old_Patient_Records!$A$2:$A$549,Table4[[#This Row],[Patient_ID]])=0,"Orphan","Valid")</f>
        <v>Valid</v>
      </c>
    </row>
    <row r="290" spans="1:9" x14ac:dyDescent="0.35">
      <c r="A290" t="s">
        <v>2152</v>
      </c>
      <c r="B290" t="s">
        <v>602</v>
      </c>
      <c r="C290" t="s">
        <v>1580</v>
      </c>
      <c r="D290" t="s">
        <v>2153</v>
      </c>
      <c r="E290">
        <v>167.8</v>
      </c>
      <c r="F290" t="s">
        <v>1571</v>
      </c>
      <c r="G290" t="s">
        <v>1582</v>
      </c>
      <c r="H290" t="s">
        <v>1573</v>
      </c>
      <c r="I290" t="str">
        <f>IF(COUNTIF(Old_Patient_Records!$A$2:$A$549,Table4[[#This Row],[Patient_ID]])=0,"Orphan","Valid")</f>
        <v>Valid</v>
      </c>
    </row>
    <row r="291" spans="1:9" x14ac:dyDescent="0.35">
      <c r="A291" t="s">
        <v>2154</v>
      </c>
      <c r="B291" t="s">
        <v>596</v>
      </c>
      <c r="C291" t="s">
        <v>1614</v>
      </c>
      <c r="D291" t="s">
        <v>2155</v>
      </c>
      <c r="E291">
        <v>147.6</v>
      </c>
      <c r="F291" t="s">
        <v>1616</v>
      </c>
      <c r="G291" t="s">
        <v>1617</v>
      </c>
      <c r="H291" t="s">
        <v>1578</v>
      </c>
      <c r="I291" t="str">
        <f>IF(COUNTIF(Old_Patient_Records!$A$2:$A$549,Table4[[#This Row],[Patient_ID]])=0,"Orphan","Valid")</f>
        <v>Valid</v>
      </c>
    </row>
    <row r="292" spans="1:9" x14ac:dyDescent="0.35">
      <c r="A292" t="s">
        <v>2156</v>
      </c>
      <c r="B292" t="s">
        <v>1132</v>
      </c>
      <c r="C292" t="s">
        <v>1569</v>
      </c>
      <c r="D292" t="s">
        <v>2157</v>
      </c>
      <c r="E292">
        <v>7.7</v>
      </c>
      <c r="F292" t="s">
        <v>1571</v>
      </c>
      <c r="G292" t="s">
        <v>1572</v>
      </c>
      <c r="H292" t="s">
        <v>1583</v>
      </c>
      <c r="I292" t="str">
        <f>IF(COUNTIF(Old_Patient_Records!$A$2:$A$549,Table4[[#This Row],[Patient_ID]])=0,"Orphan","Valid")</f>
        <v>Valid</v>
      </c>
    </row>
    <row r="293" spans="1:9" x14ac:dyDescent="0.35">
      <c r="A293" t="s">
        <v>2158</v>
      </c>
      <c r="B293" t="s">
        <v>1489</v>
      </c>
      <c r="C293" t="s">
        <v>1585</v>
      </c>
      <c r="D293" t="s">
        <v>2159</v>
      </c>
      <c r="E293">
        <v>7.2</v>
      </c>
      <c r="F293" t="s">
        <v>1587</v>
      </c>
      <c r="G293" t="s">
        <v>1588</v>
      </c>
      <c r="H293" t="s">
        <v>1578</v>
      </c>
      <c r="I293" t="str">
        <f>IF(COUNTIF(Old_Patient_Records!$A$2:$A$549,Table4[[#This Row],[Patient_ID]])=0,"Orphan","Valid")</f>
        <v>Valid</v>
      </c>
    </row>
    <row r="294" spans="1:9" x14ac:dyDescent="0.35">
      <c r="A294" t="s">
        <v>2160</v>
      </c>
      <c r="B294" t="s">
        <v>608</v>
      </c>
      <c r="C294" t="s">
        <v>1614</v>
      </c>
      <c r="D294" t="s">
        <v>2161</v>
      </c>
      <c r="E294">
        <v>167.7</v>
      </c>
      <c r="F294" t="s">
        <v>1616</v>
      </c>
      <c r="G294" t="s">
        <v>1617</v>
      </c>
      <c r="H294" t="s">
        <v>1589</v>
      </c>
      <c r="I294" t="str">
        <f>IF(COUNTIF(Old_Patient_Records!$A$2:$A$549,Table4[[#This Row],[Patient_ID]])=0,"Orphan","Valid")</f>
        <v>Valid</v>
      </c>
    </row>
    <row r="295" spans="1:9" x14ac:dyDescent="0.35">
      <c r="A295" t="s">
        <v>2162</v>
      </c>
      <c r="B295" t="s">
        <v>278</v>
      </c>
      <c r="C295" t="s">
        <v>1614</v>
      </c>
      <c r="D295" t="s">
        <v>2163</v>
      </c>
      <c r="E295">
        <v>40.799999999999997</v>
      </c>
      <c r="F295" t="s">
        <v>1616</v>
      </c>
      <c r="G295" t="s">
        <v>1617</v>
      </c>
      <c r="H295" t="s">
        <v>1608</v>
      </c>
      <c r="I295" t="str">
        <f>IF(COUNTIF(Old_Patient_Records!$A$2:$A$549,Table4[[#This Row],[Patient_ID]])=0,"Orphan","Valid")</f>
        <v>Valid</v>
      </c>
    </row>
    <row r="296" spans="1:9" x14ac:dyDescent="0.35">
      <c r="A296" t="s">
        <v>2164</v>
      </c>
      <c r="B296" t="s">
        <v>285</v>
      </c>
      <c r="C296" t="s">
        <v>1614</v>
      </c>
      <c r="D296" t="s">
        <v>2165</v>
      </c>
      <c r="E296">
        <v>143.69999999999999</v>
      </c>
      <c r="F296" t="s">
        <v>1616</v>
      </c>
      <c r="G296" t="s">
        <v>1617</v>
      </c>
      <c r="H296" t="s">
        <v>1659</v>
      </c>
      <c r="I296" t="str">
        <f>IF(COUNTIF(Old_Patient_Records!$A$2:$A$549,Table4[[#This Row],[Patient_ID]])=0,"Orphan","Valid")</f>
        <v>Valid</v>
      </c>
    </row>
    <row r="297" spans="1:9" x14ac:dyDescent="0.35">
      <c r="A297" t="s">
        <v>2166</v>
      </c>
      <c r="B297" t="s">
        <v>1173</v>
      </c>
      <c r="C297" t="s">
        <v>1569</v>
      </c>
      <c r="D297" t="s">
        <v>2167</v>
      </c>
      <c r="E297">
        <v>19.600000000000001</v>
      </c>
      <c r="F297" t="s">
        <v>1571</v>
      </c>
      <c r="G297" t="s">
        <v>1572</v>
      </c>
      <c r="H297" t="s">
        <v>1567</v>
      </c>
      <c r="I297" t="str">
        <f>IF(COUNTIF(Old_Patient_Records!$A$2:$A$549,Table4[[#This Row],[Patient_ID]])=0,"Orphan","Valid")</f>
        <v>Valid</v>
      </c>
    </row>
    <row r="298" spans="1:9" x14ac:dyDescent="0.35">
      <c r="A298" t="s">
        <v>2168</v>
      </c>
      <c r="B298" t="s">
        <v>1089</v>
      </c>
      <c r="C298" t="s">
        <v>1569</v>
      </c>
      <c r="D298" t="s">
        <v>734</v>
      </c>
      <c r="E298">
        <v>100.7</v>
      </c>
      <c r="F298" t="s">
        <v>1571</v>
      </c>
      <c r="G298" t="s">
        <v>1572</v>
      </c>
      <c r="H298" t="s">
        <v>1589</v>
      </c>
      <c r="I298" t="str">
        <f>IF(COUNTIF(Old_Patient_Records!$A$2:$A$549,Table4[[#This Row],[Patient_ID]])=0,"Orphan","Valid")</f>
        <v>Valid</v>
      </c>
    </row>
    <row r="299" spans="1:9" x14ac:dyDescent="0.35">
      <c r="A299" t="s">
        <v>2169</v>
      </c>
      <c r="B299" t="s">
        <v>1438</v>
      </c>
      <c r="C299" t="s">
        <v>1614</v>
      </c>
      <c r="D299" t="s">
        <v>2170</v>
      </c>
      <c r="E299">
        <v>222.7</v>
      </c>
      <c r="F299" t="s">
        <v>1616</v>
      </c>
      <c r="G299" t="s">
        <v>1617</v>
      </c>
      <c r="H299" t="s">
        <v>1583</v>
      </c>
      <c r="I299" t="str">
        <f>IF(COUNTIF(Old_Patient_Records!$A$2:$A$549,Table4[[#This Row],[Patient_ID]])=0,"Orphan","Valid")</f>
        <v>Valid</v>
      </c>
    </row>
    <row r="300" spans="1:9" x14ac:dyDescent="0.35">
      <c r="A300" t="s">
        <v>2171</v>
      </c>
      <c r="B300" t="s">
        <v>291</v>
      </c>
      <c r="C300" t="s">
        <v>1563</v>
      </c>
      <c r="D300" t="s">
        <v>2172</v>
      </c>
      <c r="F300" t="s">
        <v>1565</v>
      </c>
      <c r="G300" t="s">
        <v>1566</v>
      </c>
      <c r="H300" t="s">
        <v>1608</v>
      </c>
      <c r="I300" t="str">
        <f>IF(COUNTIF(Old_Patient_Records!$A$2:$A$549,Table4[[#This Row],[Patient_ID]])=0,"Orphan","Valid")</f>
        <v>Valid</v>
      </c>
    </row>
    <row r="301" spans="1:9" x14ac:dyDescent="0.35">
      <c r="A301" t="s">
        <v>2173</v>
      </c>
      <c r="B301" t="s">
        <v>487</v>
      </c>
      <c r="C301" t="s">
        <v>1585</v>
      </c>
      <c r="D301" t="s">
        <v>2174</v>
      </c>
      <c r="F301" t="s">
        <v>1587</v>
      </c>
      <c r="G301" t="s">
        <v>1588</v>
      </c>
      <c r="H301" t="s">
        <v>1573</v>
      </c>
      <c r="I301" t="str">
        <f>IF(COUNTIF(Old_Patient_Records!$A$2:$A$549,Table4[[#This Row],[Patient_ID]])=0,"Orphan","Valid")</f>
        <v>Valid</v>
      </c>
    </row>
    <row r="302" spans="1:9" x14ac:dyDescent="0.35">
      <c r="A302" t="s">
        <v>2175</v>
      </c>
      <c r="B302" t="s">
        <v>1004</v>
      </c>
      <c r="C302" t="s">
        <v>1614</v>
      </c>
      <c r="D302" t="s">
        <v>2176</v>
      </c>
      <c r="E302">
        <v>79.400000000000006</v>
      </c>
      <c r="F302" t="s">
        <v>1616</v>
      </c>
      <c r="G302" t="s">
        <v>1617</v>
      </c>
      <c r="I302" t="str">
        <f>IF(COUNTIF(Old_Patient_Records!$A$2:$A$549,Table4[[#This Row],[Patient_ID]])=0,"Orphan","Valid")</f>
        <v>Valid</v>
      </c>
    </row>
    <row r="303" spans="1:9" x14ac:dyDescent="0.35">
      <c r="A303" t="s">
        <v>2177</v>
      </c>
      <c r="B303" t="s">
        <v>463</v>
      </c>
      <c r="C303" t="s">
        <v>1591</v>
      </c>
      <c r="D303" t="s">
        <v>2178</v>
      </c>
      <c r="E303">
        <v>120</v>
      </c>
      <c r="F303" t="s">
        <v>1593</v>
      </c>
      <c r="G303" t="s">
        <v>1594</v>
      </c>
      <c r="H303" t="s">
        <v>1583</v>
      </c>
      <c r="I303" t="str">
        <f>IF(COUNTIF(Old_Patient_Records!$A$2:$A$549,Table4[[#This Row],[Patient_ID]])=0,"Orphan","Valid")</f>
        <v>Valid</v>
      </c>
    </row>
    <row r="304" spans="1:9" x14ac:dyDescent="0.35">
      <c r="A304" t="s">
        <v>2179</v>
      </c>
      <c r="B304" t="s">
        <v>257</v>
      </c>
      <c r="C304" t="s">
        <v>1591</v>
      </c>
      <c r="D304" t="s">
        <v>2180</v>
      </c>
      <c r="E304">
        <v>66.599999999999994</v>
      </c>
      <c r="F304" t="s">
        <v>1593</v>
      </c>
      <c r="G304" t="s">
        <v>1594</v>
      </c>
      <c r="H304" t="s">
        <v>1583</v>
      </c>
      <c r="I304" t="str">
        <f>IF(COUNTIF(Old_Patient_Records!$A$2:$A$549,Table4[[#This Row],[Patient_ID]])=0,"Orphan","Valid")</f>
        <v>Valid</v>
      </c>
    </row>
    <row r="305" spans="1:9" x14ac:dyDescent="0.35">
      <c r="A305" t="s">
        <v>2181</v>
      </c>
      <c r="B305" t="s">
        <v>960</v>
      </c>
      <c r="C305" t="s">
        <v>1569</v>
      </c>
      <c r="D305" t="s">
        <v>2182</v>
      </c>
      <c r="E305">
        <v>227.3</v>
      </c>
      <c r="F305" t="s">
        <v>1571</v>
      </c>
      <c r="G305" t="s">
        <v>1572</v>
      </c>
      <c r="H305" t="s">
        <v>1578</v>
      </c>
      <c r="I305" t="str">
        <f>IF(COUNTIF(Old_Patient_Records!$A$2:$A$549,Table4[[#This Row],[Patient_ID]])=0,"Orphan","Valid")</f>
        <v>Valid</v>
      </c>
    </row>
    <row r="306" spans="1:9" x14ac:dyDescent="0.35">
      <c r="A306" t="s">
        <v>2183</v>
      </c>
      <c r="B306" t="s">
        <v>1185</v>
      </c>
      <c r="C306" t="s">
        <v>1563</v>
      </c>
      <c r="D306" t="s">
        <v>2184</v>
      </c>
      <c r="E306">
        <v>73.2</v>
      </c>
      <c r="F306" t="s">
        <v>1565</v>
      </c>
      <c r="G306" t="s">
        <v>1566</v>
      </c>
      <c r="H306" t="s">
        <v>1589</v>
      </c>
      <c r="I306" t="str">
        <f>IF(COUNTIF(Old_Patient_Records!$A$2:$A$549,Table4[[#This Row],[Patient_ID]])=0,"Orphan","Valid")</f>
        <v>Valid</v>
      </c>
    </row>
    <row r="307" spans="1:9" x14ac:dyDescent="0.35">
      <c r="A307" t="s">
        <v>2185</v>
      </c>
      <c r="B307" t="s">
        <v>1058</v>
      </c>
      <c r="C307" t="s">
        <v>1585</v>
      </c>
      <c r="D307" t="s">
        <v>2186</v>
      </c>
      <c r="E307">
        <v>179.6</v>
      </c>
      <c r="F307" t="s">
        <v>1587</v>
      </c>
      <c r="G307" t="s">
        <v>1588</v>
      </c>
      <c r="H307" t="s">
        <v>1583</v>
      </c>
      <c r="I307" t="str">
        <f>IF(COUNTIF(Old_Patient_Records!$A$2:$A$549,Table4[[#This Row],[Patient_ID]])=0,"Orphan","Valid")</f>
        <v>Valid</v>
      </c>
    </row>
    <row r="308" spans="1:9" x14ac:dyDescent="0.35">
      <c r="A308" t="s">
        <v>2187</v>
      </c>
      <c r="B308" t="s">
        <v>876</v>
      </c>
      <c r="C308" t="s">
        <v>1569</v>
      </c>
      <c r="D308" t="s">
        <v>2188</v>
      </c>
      <c r="E308">
        <v>161.5</v>
      </c>
      <c r="F308" t="s">
        <v>1571</v>
      </c>
      <c r="G308" t="s">
        <v>1572</v>
      </c>
      <c r="I308" t="str">
        <f>IF(COUNTIF(Old_Patient_Records!$A$2:$A$549,Table4[[#This Row],[Patient_ID]])=0,"Orphan","Valid")</f>
        <v>Valid</v>
      </c>
    </row>
    <row r="309" spans="1:9" x14ac:dyDescent="0.35">
      <c r="A309" t="s">
        <v>2189</v>
      </c>
      <c r="B309" t="s">
        <v>1374</v>
      </c>
      <c r="C309" t="s">
        <v>1563</v>
      </c>
      <c r="D309" t="s">
        <v>2190</v>
      </c>
      <c r="E309">
        <v>180.7</v>
      </c>
      <c r="F309" t="s">
        <v>1565</v>
      </c>
      <c r="G309" t="s">
        <v>1566</v>
      </c>
      <c r="H309" t="s">
        <v>1659</v>
      </c>
      <c r="I309" t="str">
        <f>IF(COUNTIF(Old_Patient_Records!$A$2:$A$549,Table4[[#This Row],[Patient_ID]])=0,"Orphan","Valid")</f>
        <v>Valid</v>
      </c>
    </row>
    <row r="310" spans="1:9" x14ac:dyDescent="0.35">
      <c r="A310" t="s">
        <v>2191</v>
      </c>
      <c r="B310" t="s">
        <v>282</v>
      </c>
      <c r="C310" t="s">
        <v>1569</v>
      </c>
      <c r="D310" t="s">
        <v>2192</v>
      </c>
      <c r="E310">
        <v>66.900000000000006</v>
      </c>
      <c r="F310" t="s">
        <v>1571</v>
      </c>
      <c r="G310" t="s">
        <v>1572</v>
      </c>
      <c r="H310" t="s">
        <v>1608</v>
      </c>
      <c r="I310" t="str">
        <f>IF(COUNTIF(Old_Patient_Records!$A$2:$A$549,Table4[[#This Row],[Patient_ID]])=0,"Orphan","Valid")</f>
        <v>Valid</v>
      </c>
    </row>
    <row r="311" spans="1:9" x14ac:dyDescent="0.35">
      <c r="A311" t="s">
        <v>2193</v>
      </c>
      <c r="B311" t="s">
        <v>782</v>
      </c>
      <c r="C311" t="s">
        <v>1569</v>
      </c>
      <c r="D311" t="s">
        <v>2194</v>
      </c>
      <c r="E311">
        <v>232.3</v>
      </c>
      <c r="F311" t="s">
        <v>1571</v>
      </c>
      <c r="G311" t="s">
        <v>1572</v>
      </c>
      <c r="H311" t="s">
        <v>1644</v>
      </c>
      <c r="I311" t="str">
        <f>IF(COUNTIF(Old_Patient_Records!$A$2:$A$549,Table4[[#This Row],[Patient_ID]])=0,"Orphan","Valid")</f>
        <v>Valid</v>
      </c>
    </row>
    <row r="312" spans="1:9" x14ac:dyDescent="0.35">
      <c r="A312" t="s">
        <v>2195</v>
      </c>
      <c r="B312" t="s">
        <v>1227</v>
      </c>
      <c r="C312" t="s">
        <v>1569</v>
      </c>
      <c r="D312" t="s">
        <v>2196</v>
      </c>
      <c r="E312">
        <v>158.9</v>
      </c>
      <c r="F312" t="s">
        <v>1571</v>
      </c>
      <c r="G312" t="s">
        <v>1572</v>
      </c>
      <c r="H312" t="s">
        <v>1644</v>
      </c>
      <c r="I312" t="str">
        <f>IF(COUNTIF(Old_Patient_Records!$A$2:$A$549,Table4[[#This Row],[Patient_ID]])=0,"Orphan","Valid")</f>
        <v>Valid</v>
      </c>
    </row>
    <row r="313" spans="1:9" x14ac:dyDescent="0.35">
      <c r="A313" t="s">
        <v>2197</v>
      </c>
      <c r="B313" t="s">
        <v>471</v>
      </c>
      <c r="C313" t="s">
        <v>1614</v>
      </c>
      <c r="D313" t="s">
        <v>2198</v>
      </c>
      <c r="E313">
        <v>49.4</v>
      </c>
      <c r="F313" t="s">
        <v>1616</v>
      </c>
      <c r="G313" t="s">
        <v>1617</v>
      </c>
      <c r="H313" t="s">
        <v>1608</v>
      </c>
      <c r="I313" t="str">
        <f>IF(COUNTIF(Old_Patient_Records!$A$2:$A$549,Table4[[#This Row],[Patient_ID]])=0,"Orphan","Valid")</f>
        <v>Valid</v>
      </c>
    </row>
    <row r="314" spans="1:9" x14ac:dyDescent="0.35">
      <c r="A314" t="s">
        <v>2199</v>
      </c>
      <c r="B314" t="s">
        <v>815</v>
      </c>
      <c r="C314" t="s">
        <v>1563</v>
      </c>
      <c r="D314" t="s">
        <v>227</v>
      </c>
      <c r="E314">
        <v>36.200000000000003</v>
      </c>
      <c r="F314" t="s">
        <v>1565</v>
      </c>
      <c r="G314" t="s">
        <v>1566</v>
      </c>
      <c r="H314" t="s">
        <v>1567</v>
      </c>
      <c r="I314" t="str">
        <f>IF(COUNTIF(Old_Patient_Records!$A$2:$A$549,Table4[[#This Row],[Patient_ID]])=0,"Orphan","Valid")</f>
        <v>Valid</v>
      </c>
    </row>
    <row r="315" spans="1:9" x14ac:dyDescent="0.35">
      <c r="A315" t="s">
        <v>2200</v>
      </c>
      <c r="B315" t="s">
        <v>71</v>
      </c>
      <c r="C315" t="s">
        <v>1585</v>
      </c>
      <c r="D315" t="s">
        <v>2201</v>
      </c>
      <c r="E315">
        <v>32.299999999999997</v>
      </c>
      <c r="F315" t="s">
        <v>1587</v>
      </c>
      <c r="G315" t="s">
        <v>1588</v>
      </c>
      <c r="H315" t="s">
        <v>1644</v>
      </c>
      <c r="I315" t="str">
        <f>IF(COUNTIF(Old_Patient_Records!$A$2:$A$549,Table4[[#This Row],[Patient_ID]])=0,"Orphan","Valid")</f>
        <v>Valid</v>
      </c>
    </row>
    <row r="316" spans="1:9" x14ac:dyDescent="0.35">
      <c r="A316" t="s">
        <v>2202</v>
      </c>
      <c r="B316" t="s">
        <v>687</v>
      </c>
      <c r="C316" t="s">
        <v>1569</v>
      </c>
      <c r="D316" t="s">
        <v>2203</v>
      </c>
      <c r="E316">
        <v>232.3</v>
      </c>
      <c r="F316" t="s">
        <v>1571</v>
      </c>
      <c r="G316" t="s">
        <v>1572</v>
      </c>
      <c r="H316" t="s">
        <v>1567</v>
      </c>
      <c r="I316" t="str">
        <f>IF(COUNTIF(Old_Patient_Records!$A$2:$A$549,Table4[[#This Row],[Patient_ID]])=0,"Orphan","Valid")</f>
        <v>Valid</v>
      </c>
    </row>
    <row r="317" spans="1:9" x14ac:dyDescent="0.35">
      <c r="A317" t="s">
        <v>2204</v>
      </c>
      <c r="B317" t="s">
        <v>696</v>
      </c>
      <c r="C317" t="s">
        <v>1591</v>
      </c>
      <c r="D317" t="s">
        <v>2205</v>
      </c>
      <c r="E317">
        <v>47.1</v>
      </c>
      <c r="F317" t="s">
        <v>1593</v>
      </c>
      <c r="G317" t="s">
        <v>1594</v>
      </c>
      <c r="H317" t="s">
        <v>1583</v>
      </c>
      <c r="I317" t="str">
        <f>IF(COUNTIF(Old_Patient_Records!$A$2:$A$549,Table4[[#This Row],[Patient_ID]])=0,"Orphan","Valid")</f>
        <v>Valid</v>
      </c>
    </row>
    <row r="318" spans="1:9" x14ac:dyDescent="0.35">
      <c r="A318" t="s">
        <v>2206</v>
      </c>
      <c r="B318" t="s">
        <v>2207</v>
      </c>
      <c r="C318" t="s">
        <v>1591</v>
      </c>
      <c r="D318" t="s">
        <v>2208</v>
      </c>
      <c r="E318">
        <v>44.3</v>
      </c>
      <c r="F318" t="s">
        <v>1593</v>
      </c>
      <c r="G318" t="s">
        <v>1594</v>
      </c>
      <c r="H318" t="s">
        <v>1608</v>
      </c>
      <c r="I318" t="str">
        <f>IF(COUNTIF(Old_Patient_Records!$A$2:$A$549,Table4[[#This Row],[Patient_ID]])=0,"Orphan","Valid")</f>
        <v>Orphan</v>
      </c>
    </row>
    <row r="319" spans="1:9" x14ac:dyDescent="0.35">
      <c r="A319" t="s">
        <v>2209</v>
      </c>
      <c r="B319" t="s">
        <v>1173</v>
      </c>
      <c r="C319" t="s">
        <v>1580</v>
      </c>
      <c r="D319" t="s">
        <v>2210</v>
      </c>
      <c r="E319">
        <v>59.1</v>
      </c>
      <c r="F319" t="s">
        <v>1571</v>
      </c>
      <c r="G319" t="s">
        <v>1582</v>
      </c>
      <c r="H319" t="s">
        <v>1578</v>
      </c>
      <c r="I319" t="str">
        <f>IF(COUNTIF(Old_Patient_Records!$A$2:$A$549,Table4[[#This Row],[Patient_ID]])=0,"Orphan","Valid")</f>
        <v>Valid</v>
      </c>
    </row>
    <row r="320" spans="1:9" x14ac:dyDescent="0.35">
      <c r="A320" t="s">
        <v>2211</v>
      </c>
      <c r="B320" t="s">
        <v>743</v>
      </c>
      <c r="C320" t="s">
        <v>1563</v>
      </c>
      <c r="D320" t="s">
        <v>2212</v>
      </c>
      <c r="E320">
        <v>169.4</v>
      </c>
      <c r="F320" t="s">
        <v>1565</v>
      </c>
      <c r="G320" t="s">
        <v>1566</v>
      </c>
      <c r="H320" t="s">
        <v>1578</v>
      </c>
      <c r="I320" t="str">
        <f>IF(COUNTIF(Old_Patient_Records!$A$2:$A$549,Table4[[#This Row],[Patient_ID]])=0,"Orphan","Valid")</f>
        <v>Valid</v>
      </c>
    </row>
    <row r="321" spans="1:9" x14ac:dyDescent="0.35">
      <c r="A321" t="s">
        <v>2213</v>
      </c>
      <c r="B321" t="s">
        <v>310</v>
      </c>
      <c r="C321" t="s">
        <v>1569</v>
      </c>
      <c r="D321" t="s">
        <v>2214</v>
      </c>
      <c r="E321">
        <v>105.1</v>
      </c>
      <c r="F321" t="s">
        <v>1571</v>
      </c>
      <c r="G321" t="s">
        <v>1572</v>
      </c>
      <c r="H321" t="s">
        <v>1644</v>
      </c>
      <c r="I321" t="str">
        <f>IF(COUNTIF(Old_Patient_Records!$A$2:$A$549,Table4[[#This Row],[Patient_ID]])=0,"Orphan","Valid")</f>
        <v>Valid</v>
      </c>
    </row>
    <row r="322" spans="1:9" x14ac:dyDescent="0.35">
      <c r="A322" t="s">
        <v>2215</v>
      </c>
      <c r="B322" t="s">
        <v>128</v>
      </c>
      <c r="C322" t="s">
        <v>1591</v>
      </c>
      <c r="D322" t="s">
        <v>2216</v>
      </c>
      <c r="E322">
        <v>137.6</v>
      </c>
      <c r="F322" t="s">
        <v>1593</v>
      </c>
      <c r="G322" t="s">
        <v>1594</v>
      </c>
      <c r="H322" t="s">
        <v>1583</v>
      </c>
      <c r="I322" t="str">
        <f>IF(COUNTIF(Old_Patient_Records!$A$2:$A$549,Table4[[#This Row],[Patient_ID]])=0,"Orphan","Valid")</f>
        <v>Valid</v>
      </c>
    </row>
    <row r="323" spans="1:9" x14ac:dyDescent="0.35">
      <c r="A323" t="s">
        <v>2217</v>
      </c>
      <c r="B323" t="s">
        <v>1413</v>
      </c>
      <c r="C323" t="s">
        <v>1563</v>
      </c>
      <c r="D323" t="s">
        <v>1392</v>
      </c>
      <c r="E323">
        <v>129.4</v>
      </c>
      <c r="F323" t="s">
        <v>1565</v>
      </c>
      <c r="G323" t="s">
        <v>1566</v>
      </c>
      <c r="H323" t="s">
        <v>1578</v>
      </c>
      <c r="I323" t="str">
        <f>IF(COUNTIF(Old_Patient_Records!$A$2:$A$549,Table4[[#This Row],[Patient_ID]])=0,"Orphan","Valid")</f>
        <v>Valid</v>
      </c>
    </row>
    <row r="324" spans="1:9" x14ac:dyDescent="0.35">
      <c r="A324" t="s">
        <v>2218</v>
      </c>
      <c r="B324" t="s">
        <v>299</v>
      </c>
      <c r="C324" t="s">
        <v>1563</v>
      </c>
      <c r="D324" t="s">
        <v>2219</v>
      </c>
      <c r="E324">
        <v>152.19999999999999</v>
      </c>
      <c r="F324" t="s">
        <v>1565</v>
      </c>
      <c r="G324" t="s">
        <v>1566</v>
      </c>
      <c r="H324" t="s">
        <v>1644</v>
      </c>
      <c r="I324" t="str">
        <f>IF(COUNTIF(Old_Patient_Records!$A$2:$A$549,Table4[[#This Row],[Patient_ID]])=0,"Orphan","Valid")</f>
        <v>Valid</v>
      </c>
    </row>
    <row r="325" spans="1:9" x14ac:dyDescent="0.35">
      <c r="A325" t="s">
        <v>2220</v>
      </c>
      <c r="B325" t="s">
        <v>1034</v>
      </c>
      <c r="C325" t="s">
        <v>1569</v>
      </c>
      <c r="D325" t="s">
        <v>2221</v>
      </c>
      <c r="E325">
        <v>104.3</v>
      </c>
      <c r="F325" t="s">
        <v>1571</v>
      </c>
      <c r="G325" t="s">
        <v>1572</v>
      </c>
      <c r="H325" t="s">
        <v>1644</v>
      </c>
      <c r="I325" t="str">
        <f>IF(COUNTIF(Old_Patient_Records!$A$2:$A$549,Table4[[#This Row],[Patient_ID]])=0,"Orphan","Valid")</f>
        <v>Valid</v>
      </c>
    </row>
    <row r="326" spans="1:9" x14ac:dyDescent="0.35">
      <c r="A326" t="s">
        <v>2222</v>
      </c>
      <c r="B326" t="s">
        <v>132</v>
      </c>
      <c r="C326" t="s">
        <v>1591</v>
      </c>
      <c r="D326" t="s">
        <v>2223</v>
      </c>
      <c r="E326">
        <v>173.2</v>
      </c>
      <c r="F326" t="s">
        <v>1593</v>
      </c>
      <c r="G326" t="s">
        <v>1594</v>
      </c>
      <c r="H326" t="s">
        <v>1567</v>
      </c>
      <c r="I326" t="str">
        <f>IF(COUNTIF(Old_Patient_Records!$A$2:$A$549,Table4[[#This Row],[Patient_ID]])=0,"Orphan","Valid")</f>
        <v>Valid</v>
      </c>
    </row>
    <row r="327" spans="1:9" x14ac:dyDescent="0.35">
      <c r="A327" t="s">
        <v>2224</v>
      </c>
      <c r="B327" t="s">
        <v>1052</v>
      </c>
      <c r="C327" t="s">
        <v>1614</v>
      </c>
      <c r="D327" t="s">
        <v>2225</v>
      </c>
      <c r="E327">
        <v>98.3</v>
      </c>
      <c r="F327" t="s">
        <v>1616</v>
      </c>
      <c r="G327" t="s">
        <v>1617</v>
      </c>
      <c r="H327" t="s">
        <v>1608</v>
      </c>
      <c r="I327" t="str">
        <f>IF(COUNTIF(Old_Patient_Records!$A$2:$A$549,Table4[[#This Row],[Patient_ID]])=0,"Orphan","Valid")</f>
        <v>Valid</v>
      </c>
    </row>
    <row r="328" spans="1:9" x14ac:dyDescent="0.35">
      <c r="A328" t="s">
        <v>2226</v>
      </c>
      <c r="B328" t="s">
        <v>717</v>
      </c>
      <c r="C328" t="s">
        <v>1614</v>
      </c>
      <c r="D328" t="s">
        <v>2227</v>
      </c>
      <c r="E328">
        <v>70.900000000000006</v>
      </c>
      <c r="F328" t="s">
        <v>1616</v>
      </c>
      <c r="G328" t="s">
        <v>1617</v>
      </c>
      <c r="H328" t="s">
        <v>1589</v>
      </c>
      <c r="I328" t="str">
        <f>IF(COUNTIF(Old_Patient_Records!$A$2:$A$549,Table4[[#This Row],[Patient_ID]])=0,"Orphan","Valid")</f>
        <v>Valid</v>
      </c>
    </row>
    <row r="329" spans="1:9" x14ac:dyDescent="0.35">
      <c r="A329" t="s">
        <v>2228</v>
      </c>
      <c r="B329" t="s">
        <v>1459</v>
      </c>
      <c r="C329" t="s">
        <v>1569</v>
      </c>
      <c r="D329" t="s">
        <v>2229</v>
      </c>
      <c r="E329">
        <v>151.80000000000001</v>
      </c>
      <c r="F329" t="s">
        <v>1571</v>
      </c>
      <c r="G329" t="s">
        <v>1572</v>
      </c>
      <c r="H329" t="s">
        <v>1659</v>
      </c>
      <c r="I329" t="str">
        <f>IF(COUNTIF(Old_Patient_Records!$A$2:$A$549,Table4[[#This Row],[Patient_ID]])=0,"Orphan","Valid")</f>
        <v>Valid</v>
      </c>
    </row>
    <row r="330" spans="1:9" x14ac:dyDescent="0.35">
      <c r="A330" t="s">
        <v>2230</v>
      </c>
      <c r="B330" t="s">
        <v>333</v>
      </c>
      <c r="C330" t="s">
        <v>1580</v>
      </c>
      <c r="D330" t="s">
        <v>2231</v>
      </c>
      <c r="E330">
        <v>178.2</v>
      </c>
      <c r="F330" t="s">
        <v>1571</v>
      </c>
      <c r="G330" t="s">
        <v>1582</v>
      </c>
      <c r="H330" t="s">
        <v>1608</v>
      </c>
      <c r="I330" t="str">
        <f>IF(COUNTIF(Old_Patient_Records!$A$2:$A$549,Table4[[#This Row],[Patient_ID]])=0,"Orphan","Valid")</f>
        <v>Valid</v>
      </c>
    </row>
    <row r="331" spans="1:9" x14ac:dyDescent="0.35">
      <c r="A331" t="s">
        <v>2232</v>
      </c>
      <c r="B331" t="s">
        <v>1290</v>
      </c>
      <c r="C331" t="s">
        <v>1591</v>
      </c>
      <c r="D331" t="s">
        <v>2233</v>
      </c>
      <c r="E331">
        <v>41.5</v>
      </c>
      <c r="F331" t="s">
        <v>1593</v>
      </c>
      <c r="G331" t="s">
        <v>1594</v>
      </c>
      <c r="H331" t="s">
        <v>1589</v>
      </c>
      <c r="I331" t="str">
        <f>IF(COUNTIF(Old_Patient_Records!$A$2:$A$549,Table4[[#This Row],[Patient_ID]])=0,"Orphan","Valid")</f>
        <v>Valid</v>
      </c>
    </row>
    <row r="332" spans="1:9" x14ac:dyDescent="0.35">
      <c r="A332" t="s">
        <v>2234</v>
      </c>
      <c r="B332" t="s">
        <v>543</v>
      </c>
      <c r="C332" t="s">
        <v>1569</v>
      </c>
      <c r="D332" t="s">
        <v>517</v>
      </c>
      <c r="E332">
        <v>132.5</v>
      </c>
      <c r="F332" t="s">
        <v>1571</v>
      </c>
      <c r="G332" t="s">
        <v>1572</v>
      </c>
      <c r="H332" t="s">
        <v>1567</v>
      </c>
      <c r="I332" t="str">
        <f>IF(COUNTIF(Old_Patient_Records!$A$2:$A$549,Table4[[#This Row],[Patient_ID]])=0,"Orphan","Valid")</f>
        <v>Valid</v>
      </c>
    </row>
    <row r="333" spans="1:9" x14ac:dyDescent="0.35">
      <c r="A333" t="s">
        <v>2235</v>
      </c>
      <c r="B333" t="s">
        <v>570</v>
      </c>
      <c r="C333" t="s">
        <v>1591</v>
      </c>
      <c r="D333" t="s">
        <v>227</v>
      </c>
      <c r="E333">
        <v>75.599999999999994</v>
      </c>
      <c r="F333" t="s">
        <v>1593</v>
      </c>
      <c r="G333" t="s">
        <v>1594</v>
      </c>
      <c r="H333" t="s">
        <v>1578</v>
      </c>
      <c r="I333" t="str">
        <f>IF(COUNTIF(Old_Patient_Records!$A$2:$A$549,Table4[[#This Row],[Patient_ID]])=0,"Orphan","Valid")</f>
        <v>Valid</v>
      </c>
    </row>
    <row r="334" spans="1:9" x14ac:dyDescent="0.35">
      <c r="A334" t="s">
        <v>2236</v>
      </c>
      <c r="B334" t="s">
        <v>626</v>
      </c>
      <c r="C334" t="s">
        <v>1580</v>
      </c>
      <c r="D334" t="s">
        <v>2237</v>
      </c>
      <c r="E334">
        <v>152.6</v>
      </c>
      <c r="F334" t="s">
        <v>1571</v>
      </c>
      <c r="G334" t="s">
        <v>1582</v>
      </c>
      <c r="H334" t="s">
        <v>1589</v>
      </c>
      <c r="I334" t="str">
        <f>IF(COUNTIF(Old_Patient_Records!$A$2:$A$549,Table4[[#This Row],[Patient_ID]])=0,"Orphan","Valid")</f>
        <v>Valid</v>
      </c>
    </row>
    <row r="335" spans="1:9" x14ac:dyDescent="0.35">
      <c r="A335" t="s">
        <v>2238</v>
      </c>
      <c r="B335" t="s">
        <v>1315</v>
      </c>
      <c r="C335" t="s">
        <v>1591</v>
      </c>
      <c r="D335" t="s">
        <v>2239</v>
      </c>
      <c r="E335">
        <v>140.6</v>
      </c>
      <c r="F335" t="s">
        <v>1593</v>
      </c>
      <c r="G335" t="s">
        <v>1594</v>
      </c>
      <c r="H335" t="s">
        <v>1583</v>
      </c>
      <c r="I335" t="str">
        <f>IF(COUNTIF(Old_Patient_Records!$A$2:$A$549,Table4[[#This Row],[Patient_ID]])=0,"Orphan","Valid")</f>
        <v>Valid</v>
      </c>
    </row>
    <row r="336" spans="1:9" x14ac:dyDescent="0.35">
      <c r="A336" t="s">
        <v>2240</v>
      </c>
      <c r="B336" t="s">
        <v>64</v>
      </c>
      <c r="C336" t="s">
        <v>1569</v>
      </c>
      <c r="D336" t="s">
        <v>2241</v>
      </c>
      <c r="E336">
        <v>84.7</v>
      </c>
      <c r="F336" t="s">
        <v>1571</v>
      </c>
      <c r="G336" t="s">
        <v>1572</v>
      </c>
      <c r="H336" t="s">
        <v>1567</v>
      </c>
      <c r="I336" t="str">
        <f>IF(COUNTIF(Old_Patient_Records!$A$2:$A$549,Table4[[#This Row],[Patient_ID]])=0,"Orphan","Valid")</f>
        <v>Valid</v>
      </c>
    </row>
    <row r="337" spans="1:9" x14ac:dyDescent="0.35">
      <c r="A337" t="s">
        <v>2242</v>
      </c>
      <c r="B337" t="s">
        <v>239</v>
      </c>
      <c r="C337" t="s">
        <v>1591</v>
      </c>
      <c r="D337" t="s">
        <v>2243</v>
      </c>
      <c r="E337">
        <v>101.5</v>
      </c>
      <c r="F337" t="s">
        <v>1593</v>
      </c>
      <c r="G337" t="s">
        <v>1594</v>
      </c>
      <c r="H337" t="s">
        <v>1589</v>
      </c>
      <c r="I337" t="str">
        <f>IF(COUNTIF(Old_Patient_Records!$A$2:$A$549,Table4[[#This Row],[Patient_ID]])=0,"Orphan","Valid")</f>
        <v>Valid</v>
      </c>
    </row>
    <row r="338" spans="1:9" x14ac:dyDescent="0.35">
      <c r="A338" t="s">
        <v>2244</v>
      </c>
      <c r="B338" t="s">
        <v>1073</v>
      </c>
      <c r="C338" t="s">
        <v>1569</v>
      </c>
      <c r="D338" t="s">
        <v>2245</v>
      </c>
      <c r="E338">
        <v>145.6</v>
      </c>
      <c r="F338" t="s">
        <v>1571</v>
      </c>
      <c r="G338" t="s">
        <v>1572</v>
      </c>
      <c r="H338" t="s">
        <v>1589</v>
      </c>
      <c r="I338" t="str">
        <f>IF(COUNTIF(Old_Patient_Records!$A$2:$A$549,Table4[[#This Row],[Patient_ID]])=0,"Orphan","Valid")</f>
        <v>Valid</v>
      </c>
    </row>
    <row r="339" spans="1:9" x14ac:dyDescent="0.35">
      <c r="A339" t="s">
        <v>2246</v>
      </c>
      <c r="B339" t="s">
        <v>766</v>
      </c>
      <c r="C339" t="s">
        <v>1585</v>
      </c>
      <c r="D339" t="s">
        <v>2247</v>
      </c>
      <c r="E339">
        <v>44.7</v>
      </c>
      <c r="F339" t="s">
        <v>1587</v>
      </c>
      <c r="G339" t="s">
        <v>1588</v>
      </c>
      <c r="H339" t="s">
        <v>1644</v>
      </c>
      <c r="I339" t="str">
        <f>IF(COUNTIF(Old_Patient_Records!$A$2:$A$549,Table4[[#This Row],[Patient_ID]])=0,"Orphan","Valid")</f>
        <v>Valid</v>
      </c>
    </row>
    <row r="340" spans="1:9" x14ac:dyDescent="0.35">
      <c r="A340" t="s">
        <v>2248</v>
      </c>
      <c r="B340" t="s">
        <v>2249</v>
      </c>
      <c r="C340" t="s">
        <v>1569</v>
      </c>
      <c r="D340" t="s">
        <v>2250</v>
      </c>
      <c r="E340">
        <v>117.9</v>
      </c>
      <c r="F340" t="s">
        <v>1571</v>
      </c>
      <c r="G340" t="s">
        <v>1572</v>
      </c>
      <c r="H340" t="s">
        <v>1583</v>
      </c>
      <c r="I340" t="str">
        <f>IF(COUNTIF(Old_Patient_Records!$A$2:$A$549,Table4[[#This Row],[Patient_ID]])=0,"Orphan","Valid")</f>
        <v>Orphan</v>
      </c>
    </row>
    <row r="341" spans="1:9" x14ac:dyDescent="0.35">
      <c r="A341" t="s">
        <v>2251</v>
      </c>
      <c r="B341" t="s">
        <v>1477</v>
      </c>
      <c r="C341" t="s">
        <v>1585</v>
      </c>
      <c r="D341" t="s">
        <v>2252</v>
      </c>
      <c r="E341">
        <v>119.3</v>
      </c>
      <c r="F341" t="s">
        <v>1587</v>
      </c>
      <c r="G341" t="s">
        <v>1588</v>
      </c>
      <c r="H341" t="s">
        <v>1644</v>
      </c>
      <c r="I341" t="str">
        <f>IF(COUNTIF(Old_Patient_Records!$A$2:$A$549,Table4[[#This Row],[Patient_ID]])=0,"Orphan","Valid")</f>
        <v>Valid</v>
      </c>
    </row>
    <row r="342" spans="1:9" x14ac:dyDescent="0.35">
      <c r="A342" t="s">
        <v>2253</v>
      </c>
      <c r="B342" t="s">
        <v>1175</v>
      </c>
      <c r="C342" t="s">
        <v>1563</v>
      </c>
      <c r="D342" t="s">
        <v>1736</v>
      </c>
      <c r="E342">
        <v>45.9</v>
      </c>
      <c r="F342" t="s">
        <v>1565</v>
      </c>
      <c r="G342" t="s">
        <v>1566</v>
      </c>
      <c r="H342" t="s">
        <v>1578</v>
      </c>
      <c r="I342" t="str">
        <f>IF(COUNTIF(Old_Patient_Records!$A$2:$A$549,Table4[[#This Row],[Patient_ID]])=0,"Orphan","Valid")</f>
        <v>Valid</v>
      </c>
    </row>
    <row r="343" spans="1:9" x14ac:dyDescent="0.35">
      <c r="A343" t="s">
        <v>2254</v>
      </c>
      <c r="B343" t="s">
        <v>1073</v>
      </c>
      <c r="C343" t="s">
        <v>1580</v>
      </c>
      <c r="D343" t="s">
        <v>2255</v>
      </c>
      <c r="E343">
        <v>211.3</v>
      </c>
      <c r="F343" t="s">
        <v>1571</v>
      </c>
      <c r="G343" t="s">
        <v>1582</v>
      </c>
      <c r="H343" t="s">
        <v>1644</v>
      </c>
      <c r="I343" t="str">
        <f>IF(COUNTIF(Old_Patient_Records!$A$2:$A$549,Table4[[#This Row],[Patient_ID]])=0,"Orphan","Valid")</f>
        <v>Valid</v>
      </c>
    </row>
    <row r="344" spans="1:9" x14ac:dyDescent="0.35">
      <c r="A344" t="s">
        <v>2256</v>
      </c>
      <c r="B344" t="s">
        <v>934</v>
      </c>
      <c r="C344" t="s">
        <v>1563</v>
      </c>
      <c r="D344" t="s">
        <v>2257</v>
      </c>
      <c r="E344">
        <v>124.4</v>
      </c>
      <c r="F344" t="s">
        <v>1565</v>
      </c>
      <c r="G344" t="s">
        <v>1566</v>
      </c>
      <c r="H344" t="s">
        <v>1589</v>
      </c>
      <c r="I344" t="str">
        <f>IF(COUNTIF(Old_Patient_Records!$A$2:$A$549,Table4[[#This Row],[Patient_ID]])=0,"Orphan","Valid")</f>
        <v>Valid</v>
      </c>
    </row>
    <row r="345" spans="1:9" x14ac:dyDescent="0.35">
      <c r="A345" t="s">
        <v>2258</v>
      </c>
      <c r="B345" t="s">
        <v>471</v>
      </c>
      <c r="C345" t="s">
        <v>1614</v>
      </c>
      <c r="D345" t="s">
        <v>2259</v>
      </c>
      <c r="E345">
        <v>164</v>
      </c>
      <c r="F345" t="s">
        <v>1616</v>
      </c>
      <c r="G345" t="s">
        <v>1617</v>
      </c>
      <c r="H345" t="s">
        <v>1567</v>
      </c>
      <c r="I345" t="str">
        <f>IF(COUNTIF(Old_Patient_Records!$A$2:$A$549,Table4[[#This Row],[Patient_ID]])=0,"Orphan","Valid")</f>
        <v>Valid</v>
      </c>
    </row>
    <row r="346" spans="1:9" x14ac:dyDescent="0.35">
      <c r="A346" t="s">
        <v>2260</v>
      </c>
      <c r="B346" t="s">
        <v>777</v>
      </c>
      <c r="C346" t="s">
        <v>1569</v>
      </c>
      <c r="D346" t="s">
        <v>2261</v>
      </c>
      <c r="E346">
        <v>124.3</v>
      </c>
      <c r="F346" t="s">
        <v>1571</v>
      </c>
      <c r="G346" t="s">
        <v>1572</v>
      </c>
      <c r="H346" t="s">
        <v>1578</v>
      </c>
      <c r="I346" t="str">
        <f>IF(COUNTIF(Old_Patient_Records!$A$2:$A$549,Table4[[#This Row],[Patient_ID]])=0,"Orphan","Valid")</f>
        <v>Valid</v>
      </c>
    </row>
    <row r="347" spans="1:9" x14ac:dyDescent="0.35">
      <c r="A347" t="s">
        <v>2262</v>
      </c>
      <c r="B347" t="s">
        <v>222</v>
      </c>
      <c r="C347" t="s">
        <v>1614</v>
      </c>
      <c r="D347" t="s">
        <v>2237</v>
      </c>
      <c r="E347">
        <v>65.099999999999994</v>
      </c>
      <c r="F347" t="s">
        <v>1616</v>
      </c>
      <c r="G347" t="s">
        <v>1617</v>
      </c>
      <c r="H347" t="s">
        <v>1659</v>
      </c>
      <c r="I347" t="str">
        <f>IF(COUNTIF(Old_Patient_Records!$A$2:$A$549,Table4[[#This Row],[Patient_ID]])=0,"Orphan","Valid")</f>
        <v>Valid</v>
      </c>
    </row>
    <row r="348" spans="1:9" x14ac:dyDescent="0.35">
      <c r="A348" t="s">
        <v>2263</v>
      </c>
      <c r="B348" t="s">
        <v>1118</v>
      </c>
      <c r="C348" t="s">
        <v>1580</v>
      </c>
      <c r="D348" t="s">
        <v>2264</v>
      </c>
      <c r="E348">
        <v>222.3</v>
      </c>
      <c r="F348" t="s">
        <v>1571</v>
      </c>
      <c r="G348" t="s">
        <v>1582</v>
      </c>
      <c r="H348" t="s">
        <v>1573</v>
      </c>
      <c r="I348" t="str">
        <f>IF(COUNTIF(Old_Patient_Records!$A$2:$A$549,Table4[[#This Row],[Patient_ID]])=0,"Orphan","Valid")</f>
        <v>Valid</v>
      </c>
    </row>
    <row r="349" spans="1:9" x14ac:dyDescent="0.35">
      <c r="A349" t="s">
        <v>2265</v>
      </c>
      <c r="B349" t="s">
        <v>1354</v>
      </c>
      <c r="C349" t="s">
        <v>1563</v>
      </c>
      <c r="D349" t="s">
        <v>2266</v>
      </c>
      <c r="E349">
        <v>14.9</v>
      </c>
      <c r="F349" t="s">
        <v>1565</v>
      </c>
      <c r="G349" t="s">
        <v>1566</v>
      </c>
      <c r="H349" t="s">
        <v>1659</v>
      </c>
      <c r="I349" t="str">
        <f>IF(COUNTIF(Old_Patient_Records!$A$2:$A$549,Table4[[#This Row],[Patient_ID]])=0,"Orphan","Valid")</f>
        <v>Valid</v>
      </c>
    </row>
    <row r="350" spans="1:9" x14ac:dyDescent="0.35">
      <c r="A350" t="s">
        <v>2267</v>
      </c>
      <c r="B350" t="s">
        <v>1431</v>
      </c>
      <c r="C350" t="s">
        <v>1563</v>
      </c>
      <c r="D350" t="s">
        <v>2268</v>
      </c>
      <c r="E350">
        <v>45.7</v>
      </c>
      <c r="F350" t="s">
        <v>1565</v>
      </c>
      <c r="G350" t="s">
        <v>1566</v>
      </c>
      <c r="H350" t="s">
        <v>1583</v>
      </c>
      <c r="I350" t="str">
        <f>IF(COUNTIF(Old_Patient_Records!$A$2:$A$549,Table4[[#This Row],[Patient_ID]])=0,"Orphan","Valid")</f>
        <v>Valid</v>
      </c>
    </row>
    <row r="351" spans="1:9" x14ac:dyDescent="0.35">
      <c r="A351" t="s">
        <v>2269</v>
      </c>
      <c r="B351" t="s">
        <v>1438</v>
      </c>
      <c r="C351" t="s">
        <v>1563</v>
      </c>
      <c r="D351" t="s">
        <v>2270</v>
      </c>
      <c r="E351">
        <v>58.6</v>
      </c>
      <c r="F351" t="s">
        <v>1565</v>
      </c>
      <c r="G351" t="s">
        <v>1566</v>
      </c>
      <c r="H351" t="s">
        <v>1644</v>
      </c>
      <c r="I351" t="str">
        <f>IF(COUNTIF(Old_Patient_Records!$A$2:$A$549,Table4[[#This Row],[Patient_ID]])=0,"Orphan","Valid")</f>
        <v>Valid</v>
      </c>
    </row>
    <row r="352" spans="1:9" x14ac:dyDescent="0.35">
      <c r="A352" t="s">
        <v>2271</v>
      </c>
      <c r="B352" t="s">
        <v>1310</v>
      </c>
      <c r="C352" t="s">
        <v>1563</v>
      </c>
      <c r="D352" t="s">
        <v>2272</v>
      </c>
      <c r="E352">
        <v>90</v>
      </c>
      <c r="F352" t="s">
        <v>1565</v>
      </c>
      <c r="G352" t="s">
        <v>1566</v>
      </c>
      <c r="H352" t="s">
        <v>1583</v>
      </c>
      <c r="I352" t="str">
        <f>IF(COUNTIF(Old_Patient_Records!$A$2:$A$549,Table4[[#This Row],[Patient_ID]])=0,"Orphan","Valid")</f>
        <v>Valid</v>
      </c>
    </row>
    <row r="353" spans="1:9" x14ac:dyDescent="0.35">
      <c r="A353" t="s">
        <v>2273</v>
      </c>
      <c r="B353" t="s">
        <v>1255</v>
      </c>
      <c r="C353" t="s">
        <v>1591</v>
      </c>
      <c r="D353" t="s">
        <v>2274</v>
      </c>
      <c r="E353">
        <v>190.8</v>
      </c>
      <c r="F353" t="s">
        <v>1593</v>
      </c>
      <c r="G353" t="s">
        <v>1594</v>
      </c>
      <c r="H353" t="s">
        <v>1583</v>
      </c>
      <c r="I353" t="str">
        <f>IF(COUNTIF(Old_Patient_Records!$A$2:$A$549,Table4[[#This Row],[Patient_ID]])=0,"Orphan","Valid")</f>
        <v>Valid</v>
      </c>
    </row>
    <row r="354" spans="1:9" x14ac:dyDescent="0.35">
      <c r="A354" t="s">
        <v>2275</v>
      </c>
      <c r="B354" t="s">
        <v>1431</v>
      </c>
      <c r="C354" t="s">
        <v>1585</v>
      </c>
      <c r="D354" t="s">
        <v>2276</v>
      </c>
      <c r="E354">
        <v>21.5</v>
      </c>
      <c r="F354" t="s">
        <v>1587</v>
      </c>
      <c r="G354" t="s">
        <v>1588</v>
      </c>
      <c r="I354" t="str">
        <f>IF(COUNTIF(Old_Patient_Records!$A$2:$A$549,Table4[[#This Row],[Patient_ID]])=0,"Orphan","Valid")</f>
        <v>Valid</v>
      </c>
    </row>
    <row r="355" spans="1:9" x14ac:dyDescent="0.35">
      <c r="A355" t="s">
        <v>2277</v>
      </c>
      <c r="B355" t="s">
        <v>687</v>
      </c>
      <c r="C355" t="s">
        <v>1585</v>
      </c>
      <c r="D355" t="s">
        <v>2278</v>
      </c>
      <c r="E355">
        <v>40.299999999999997</v>
      </c>
      <c r="F355" t="s">
        <v>1587</v>
      </c>
      <c r="G355" t="s">
        <v>1588</v>
      </c>
      <c r="H355" t="s">
        <v>1644</v>
      </c>
      <c r="I355" t="str">
        <f>IF(COUNTIF(Old_Patient_Records!$A$2:$A$549,Table4[[#This Row],[Patient_ID]])=0,"Orphan","Valid")</f>
        <v>Valid</v>
      </c>
    </row>
    <row r="356" spans="1:9" x14ac:dyDescent="0.35">
      <c r="A356" t="s">
        <v>2279</v>
      </c>
      <c r="B356" t="s">
        <v>189</v>
      </c>
      <c r="C356" t="s">
        <v>1563</v>
      </c>
      <c r="D356" t="s">
        <v>2280</v>
      </c>
      <c r="F356" t="s">
        <v>1565</v>
      </c>
      <c r="G356" t="s">
        <v>1566</v>
      </c>
      <c r="H356" t="s">
        <v>1644</v>
      </c>
      <c r="I356" t="str">
        <f>IF(COUNTIF(Old_Patient_Records!$A$2:$A$549,Table4[[#This Row],[Patient_ID]])=0,"Orphan","Valid")</f>
        <v>Valid</v>
      </c>
    </row>
    <row r="357" spans="1:9" x14ac:dyDescent="0.35">
      <c r="A357" t="s">
        <v>2281</v>
      </c>
      <c r="B357" t="s">
        <v>504</v>
      </c>
      <c r="C357" t="s">
        <v>1591</v>
      </c>
      <c r="D357" t="s">
        <v>1131</v>
      </c>
      <c r="E357">
        <v>109.6</v>
      </c>
      <c r="F357" t="s">
        <v>1593</v>
      </c>
      <c r="G357" t="s">
        <v>1594</v>
      </c>
      <c r="H357" t="s">
        <v>1608</v>
      </c>
      <c r="I357" t="str">
        <f>IF(COUNTIF(Old_Patient_Records!$A$2:$A$549,Table4[[#This Row],[Patient_ID]])=0,"Orphan","Valid")</f>
        <v>Valid</v>
      </c>
    </row>
    <row r="358" spans="1:9" x14ac:dyDescent="0.35">
      <c r="A358" t="s">
        <v>2282</v>
      </c>
      <c r="B358" t="s">
        <v>811</v>
      </c>
      <c r="C358" t="s">
        <v>1569</v>
      </c>
      <c r="D358" t="s">
        <v>2283</v>
      </c>
      <c r="E358">
        <v>183.2</v>
      </c>
      <c r="F358" t="s">
        <v>1571</v>
      </c>
      <c r="G358" t="s">
        <v>1572</v>
      </c>
      <c r="H358" t="s">
        <v>1589</v>
      </c>
      <c r="I358" t="str">
        <f>IF(COUNTIF(Old_Patient_Records!$A$2:$A$549,Table4[[#This Row],[Patient_ID]])=0,"Orphan","Valid")</f>
        <v>Valid</v>
      </c>
    </row>
    <row r="359" spans="1:9" x14ac:dyDescent="0.35">
      <c r="A359" t="s">
        <v>2284</v>
      </c>
      <c r="B359" t="s">
        <v>304</v>
      </c>
      <c r="C359" t="s">
        <v>1585</v>
      </c>
      <c r="D359" t="s">
        <v>2285</v>
      </c>
      <c r="E359">
        <v>169</v>
      </c>
      <c r="F359" t="s">
        <v>1587</v>
      </c>
      <c r="G359" t="s">
        <v>1588</v>
      </c>
      <c r="H359" t="s">
        <v>1659</v>
      </c>
      <c r="I359" t="str">
        <f>IF(COUNTIF(Old_Patient_Records!$A$2:$A$549,Table4[[#This Row],[Patient_ID]])=0,"Orphan","Valid")</f>
        <v>Valid</v>
      </c>
    </row>
    <row r="360" spans="1:9" x14ac:dyDescent="0.35">
      <c r="A360" t="s">
        <v>2286</v>
      </c>
      <c r="B360" t="s">
        <v>793</v>
      </c>
      <c r="C360" t="s">
        <v>1614</v>
      </c>
      <c r="D360" t="s">
        <v>2287</v>
      </c>
      <c r="E360">
        <v>146.4</v>
      </c>
      <c r="F360" t="s">
        <v>1616</v>
      </c>
      <c r="G360" t="s">
        <v>1617</v>
      </c>
      <c r="H360" t="s">
        <v>1659</v>
      </c>
      <c r="I360" t="str">
        <f>IF(COUNTIF(Old_Patient_Records!$A$2:$A$549,Table4[[#This Row],[Patient_ID]])=0,"Orphan","Valid")</f>
        <v>Valid</v>
      </c>
    </row>
    <row r="361" spans="1:9" x14ac:dyDescent="0.35">
      <c r="A361" t="s">
        <v>2288</v>
      </c>
      <c r="B361" t="s">
        <v>1465</v>
      </c>
      <c r="C361" t="s">
        <v>1591</v>
      </c>
      <c r="D361" t="s">
        <v>2289</v>
      </c>
      <c r="E361">
        <v>172.2</v>
      </c>
      <c r="F361" t="s">
        <v>1593</v>
      </c>
      <c r="G361" t="s">
        <v>1594</v>
      </c>
      <c r="H361" t="s">
        <v>1567</v>
      </c>
      <c r="I361" t="str">
        <f>IF(COUNTIF(Old_Patient_Records!$A$2:$A$549,Table4[[#This Row],[Patient_ID]])=0,"Orphan","Valid")</f>
        <v>Valid</v>
      </c>
    </row>
    <row r="362" spans="1:9" x14ac:dyDescent="0.35">
      <c r="A362" t="s">
        <v>2290</v>
      </c>
      <c r="B362" t="s">
        <v>972</v>
      </c>
      <c r="C362" t="s">
        <v>1614</v>
      </c>
      <c r="D362" t="s">
        <v>2291</v>
      </c>
      <c r="E362">
        <v>235.3</v>
      </c>
      <c r="F362" t="s">
        <v>1616</v>
      </c>
      <c r="G362" t="s">
        <v>1617</v>
      </c>
      <c r="H362" t="s">
        <v>1573</v>
      </c>
      <c r="I362" t="str">
        <f>IF(COUNTIF(Old_Patient_Records!$A$2:$A$549,Table4[[#This Row],[Patient_ID]])=0,"Orphan","Valid")</f>
        <v>Valid</v>
      </c>
    </row>
    <row r="363" spans="1:9" x14ac:dyDescent="0.35">
      <c r="A363" t="s">
        <v>2292</v>
      </c>
      <c r="B363" t="s">
        <v>492</v>
      </c>
      <c r="C363" t="s">
        <v>1563</v>
      </c>
      <c r="D363" t="s">
        <v>2293</v>
      </c>
      <c r="E363">
        <v>141</v>
      </c>
      <c r="F363" t="s">
        <v>1565</v>
      </c>
      <c r="G363" t="s">
        <v>1566</v>
      </c>
      <c r="I363" t="str">
        <f>IF(COUNTIF(Old_Patient_Records!$A$2:$A$549,Table4[[#This Row],[Patient_ID]])=0,"Orphan","Valid")</f>
        <v>Valid</v>
      </c>
    </row>
    <row r="364" spans="1:9" x14ac:dyDescent="0.35">
      <c r="A364" t="s">
        <v>2294</v>
      </c>
      <c r="B364" t="s">
        <v>1428</v>
      </c>
      <c r="C364" t="s">
        <v>1569</v>
      </c>
      <c r="D364" t="s">
        <v>2295</v>
      </c>
      <c r="E364">
        <v>93.9</v>
      </c>
      <c r="F364" t="s">
        <v>1571</v>
      </c>
      <c r="G364" t="s">
        <v>1572</v>
      </c>
      <c r="H364" t="s">
        <v>1659</v>
      </c>
      <c r="I364" t="str">
        <f>IF(COUNTIF(Old_Patient_Records!$A$2:$A$549,Table4[[#This Row],[Patient_ID]])=0,"Orphan","Valid")</f>
        <v>Valid</v>
      </c>
    </row>
    <row r="365" spans="1:9" x14ac:dyDescent="0.35">
      <c r="A365" t="s">
        <v>2296</v>
      </c>
      <c r="B365" t="s">
        <v>531</v>
      </c>
      <c r="C365" t="s">
        <v>1563</v>
      </c>
      <c r="D365" t="s">
        <v>2297</v>
      </c>
      <c r="E365">
        <v>157.6</v>
      </c>
      <c r="F365" t="s">
        <v>1565</v>
      </c>
      <c r="G365" t="s">
        <v>1566</v>
      </c>
      <c r="H365" t="s">
        <v>1567</v>
      </c>
      <c r="I365" t="str">
        <f>IF(COUNTIF(Old_Patient_Records!$A$2:$A$549,Table4[[#This Row],[Patient_ID]])=0,"Orphan","Valid")</f>
        <v>Valid</v>
      </c>
    </row>
    <row r="366" spans="1:9" x14ac:dyDescent="0.35">
      <c r="A366" t="s">
        <v>2298</v>
      </c>
      <c r="B366" t="s">
        <v>1240</v>
      </c>
      <c r="C366" t="s">
        <v>1614</v>
      </c>
      <c r="D366" t="s">
        <v>2299</v>
      </c>
      <c r="E366">
        <v>42.7</v>
      </c>
      <c r="F366" t="s">
        <v>1616</v>
      </c>
      <c r="G366" t="s">
        <v>1617</v>
      </c>
      <c r="H366" t="s">
        <v>1659</v>
      </c>
      <c r="I366" t="str">
        <f>IF(COUNTIF(Old_Patient_Records!$A$2:$A$549,Table4[[#This Row],[Patient_ID]])=0,"Orphan","Valid")</f>
        <v>Valid</v>
      </c>
    </row>
    <row r="367" spans="1:9" x14ac:dyDescent="0.35">
      <c r="A367" t="s">
        <v>2300</v>
      </c>
      <c r="B367" t="s">
        <v>1380</v>
      </c>
      <c r="C367" t="s">
        <v>1580</v>
      </c>
      <c r="D367" t="s">
        <v>139</v>
      </c>
      <c r="E367">
        <v>220.4</v>
      </c>
      <c r="F367" t="s">
        <v>1571</v>
      </c>
      <c r="G367" t="s">
        <v>1582</v>
      </c>
      <c r="H367" t="s">
        <v>1578</v>
      </c>
      <c r="I367" t="str">
        <f>IF(COUNTIF(Old_Patient_Records!$A$2:$A$549,Table4[[#This Row],[Patient_ID]])=0,"Orphan","Valid")</f>
        <v>Valid</v>
      </c>
    </row>
    <row r="368" spans="1:9" x14ac:dyDescent="0.35">
      <c r="A368" t="s">
        <v>2301</v>
      </c>
      <c r="B368" t="s">
        <v>732</v>
      </c>
      <c r="C368" t="s">
        <v>1614</v>
      </c>
      <c r="D368" t="s">
        <v>2302</v>
      </c>
      <c r="E368">
        <v>75.2</v>
      </c>
      <c r="F368" t="s">
        <v>1616</v>
      </c>
      <c r="G368" t="s">
        <v>1617</v>
      </c>
      <c r="H368" t="s">
        <v>1589</v>
      </c>
      <c r="I368" t="str">
        <f>IF(COUNTIF(Old_Patient_Records!$A$2:$A$549,Table4[[#This Row],[Patient_ID]])=0,"Orphan","Valid")</f>
        <v>Valid</v>
      </c>
    </row>
    <row r="369" spans="1:9" x14ac:dyDescent="0.35">
      <c r="A369" t="s">
        <v>2303</v>
      </c>
      <c r="B369" t="s">
        <v>1094</v>
      </c>
      <c r="C369" t="s">
        <v>1591</v>
      </c>
      <c r="D369" t="s">
        <v>2304</v>
      </c>
      <c r="E369">
        <v>214</v>
      </c>
      <c r="F369" t="s">
        <v>1593</v>
      </c>
      <c r="G369" t="s">
        <v>1594</v>
      </c>
      <c r="H369" t="s">
        <v>1567</v>
      </c>
      <c r="I369" t="str">
        <f>IF(COUNTIF(Old_Patient_Records!$A$2:$A$549,Table4[[#This Row],[Patient_ID]])=0,"Orphan","Valid")</f>
        <v>Valid</v>
      </c>
    </row>
    <row r="370" spans="1:9" x14ac:dyDescent="0.35">
      <c r="A370" t="s">
        <v>2305</v>
      </c>
      <c r="B370" t="s">
        <v>1395</v>
      </c>
      <c r="C370" t="s">
        <v>1569</v>
      </c>
      <c r="D370" t="s">
        <v>2306</v>
      </c>
      <c r="E370">
        <v>224.7</v>
      </c>
      <c r="F370" t="s">
        <v>1571</v>
      </c>
      <c r="G370" t="s">
        <v>1572</v>
      </c>
      <c r="H370" t="s">
        <v>1567</v>
      </c>
      <c r="I370" t="str">
        <f>IF(COUNTIF(Old_Patient_Records!$A$2:$A$549,Table4[[#This Row],[Patient_ID]])=0,"Orphan","Valid")</f>
        <v>Valid</v>
      </c>
    </row>
    <row r="371" spans="1:9" x14ac:dyDescent="0.35">
      <c r="A371" t="s">
        <v>2307</v>
      </c>
      <c r="B371" t="s">
        <v>452</v>
      </c>
      <c r="C371" t="s">
        <v>1614</v>
      </c>
      <c r="D371" t="s">
        <v>2308</v>
      </c>
      <c r="E371">
        <v>76.400000000000006</v>
      </c>
      <c r="F371" t="s">
        <v>1616</v>
      </c>
      <c r="G371" t="s">
        <v>1617</v>
      </c>
      <c r="H371" t="s">
        <v>1608</v>
      </c>
      <c r="I371" t="str">
        <f>IF(COUNTIF(Old_Patient_Records!$A$2:$A$549,Table4[[#This Row],[Patient_ID]])=0,"Orphan","Valid")</f>
        <v>Valid</v>
      </c>
    </row>
    <row r="372" spans="1:9" x14ac:dyDescent="0.35">
      <c r="A372" t="s">
        <v>2309</v>
      </c>
      <c r="B372" t="s">
        <v>922</v>
      </c>
      <c r="C372" t="s">
        <v>1580</v>
      </c>
      <c r="D372" t="s">
        <v>2310</v>
      </c>
      <c r="F372" t="s">
        <v>1571</v>
      </c>
      <c r="G372" t="s">
        <v>1582</v>
      </c>
      <c r="H372" t="s">
        <v>1567</v>
      </c>
      <c r="I372" t="str">
        <f>IF(COUNTIF(Old_Patient_Records!$A$2:$A$549,Table4[[#This Row],[Patient_ID]])=0,"Orphan","Valid")</f>
        <v>Valid</v>
      </c>
    </row>
    <row r="373" spans="1:9" x14ac:dyDescent="0.35">
      <c r="A373" t="s">
        <v>2311</v>
      </c>
      <c r="B373" t="s">
        <v>1132</v>
      </c>
      <c r="C373" t="s">
        <v>1569</v>
      </c>
      <c r="D373" t="s">
        <v>719</v>
      </c>
      <c r="E373">
        <v>206.9</v>
      </c>
      <c r="F373" t="s">
        <v>1571</v>
      </c>
      <c r="G373" t="s">
        <v>1572</v>
      </c>
      <c r="H373" t="s">
        <v>1573</v>
      </c>
      <c r="I373" t="str">
        <f>IF(COUNTIF(Old_Patient_Records!$A$2:$A$549,Table4[[#This Row],[Patient_ID]])=0,"Orphan","Valid")</f>
        <v>Valid</v>
      </c>
    </row>
    <row r="374" spans="1:9" x14ac:dyDescent="0.35">
      <c r="A374" t="s">
        <v>2312</v>
      </c>
      <c r="B374" t="s">
        <v>282</v>
      </c>
      <c r="C374" t="s">
        <v>1591</v>
      </c>
      <c r="D374" t="s">
        <v>1697</v>
      </c>
      <c r="E374">
        <v>208.8</v>
      </c>
      <c r="F374" t="s">
        <v>1593</v>
      </c>
      <c r="G374" t="s">
        <v>1594</v>
      </c>
      <c r="H374" t="s">
        <v>1573</v>
      </c>
      <c r="I374" t="str">
        <f>IF(COUNTIF(Old_Patient_Records!$A$2:$A$549,Table4[[#This Row],[Patient_ID]])=0,"Orphan","Valid")</f>
        <v>Valid</v>
      </c>
    </row>
    <row r="375" spans="1:9" x14ac:dyDescent="0.35">
      <c r="A375" t="s">
        <v>2313</v>
      </c>
      <c r="B375" t="s">
        <v>1453</v>
      </c>
      <c r="C375" t="s">
        <v>1569</v>
      </c>
      <c r="D375" t="s">
        <v>2314</v>
      </c>
      <c r="E375">
        <v>28.5</v>
      </c>
      <c r="F375" t="s">
        <v>1571</v>
      </c>
      <c r="G375" t="s">
        <v>1572</v>
      </c>
      <c r="H375" t="s">
        <v>1644</v>
      </c>
      <c r="I375" t="str">
        <f>IF(COUNTIF(Old_Patient_Records!$A$2:$A$549,Table4[[#This Row],[Patient_ID]])=0,"Orphan","Valid")</f>
        <v>Valid</v>
      </c>
    </row>
    <row r="376" spans="1:9" x14ac:dyDescent="0.35">
      <c r="A376" t="s">
        <v>2315</v>
      </c>
      <c r="B376" t="s">
        <v>1343</v>
      </c>
      <c r="C376" t="s">
        <v>1563</v>
      </c>
      <c r="D376" t="s">
        <v>2316</v>
      </c>
      <c r="E376">
        <v>203.5</v>
      </c>
      <c r="F376" t="s">
        <v>1565</v>
      </c>
      <c r="G376" t="s">
        <v>1566</v>
      </c>
      <c r="H376" t="s">
        <v>1573</v>
      </c>
      <c r="I376" t="str">
        <f>IF(COUNTIF(Old_Patient_Records!$A$2:$A$549,Table4[[#This Row],[Patient_ID]])=0,"Orphan","Valid")</f>
        <v>Valid</v>
      </c>
    </row>
    <row r="377" spans="1:9" x14ac:dyDescent="0.35">
      <c r="A377" t="s">
        <v>2317</v>
      </c>
      <c r="B377" t="s">
        <v>1157</v>
      </c>
      <c r="C377" t="s">
        <v>1585</v>
      </c>
      <c r="D377" t="s">
        <v>2318</v>
      </c>
      <c r="E377">
        <v>107.4</v>
      </c>
      <c r="F377" t="s">
        <v>1587</v>
      </c>
      <c r="G377" t="s">
        <v>1588</v>
      </c>
      <c r="H377" t="s">
        <v>1659</v>
      </c>
      <c r="I377" t="str">
        <f>IF(COUNTIF(Old_Patient_Records!$A$2:$A$549,Table4[[#This Row],[Patient_ID]])=0,"Orphan","Valid")</f>
        <v>Valid</v>
      </c>
    </row>
    <row r="378" spans="1:9" x14ac:dyDescent="0.35">
      <c r="A378" t="s">
        <v>2319</v>
      </c>
      <c r="B378" t="s">
        <v>495</v>
      </c>
      <c r="C378" t="s">
        <v>1569</v>
      </c>
      <c r="D378" t="s">
        <v>2320</v>
      </c>
      <c r="F378" t="s">
        <v>1571</v>
      </c>
      <c r="G378" t="s">
        <v>1572</v>
      </c>
      <c r="H378" t="s">
        <v>1608</v>
      </c>
      <c r="I378" t="str">
        <f>IF(COUNTIF(Old_Patient_Records!$A$2:$A$549,Table4[[#This Row],[Patient_ID]])=0,"Orphan","Valid")</f>
        <v>Valid</v>
      </c>
    </row>
    <row r="379" spans="1:9" x14ac:dyDescent="0.35">
      <c r="A379" t="s">
        <v>2321</v>
      </c>
      <c r="B379" t="s">
        <v>1280</v>
      </c>
      <c r="C379" t="s">
        <v>1569</v>
      </c>
      <c r="D379" t="s">
        <v>2322</v>
      </c>
      <c r="E379">
        <v>35.9</v>
      </c>
      <c r="F379" t="s">
        <v>1571</v>
      </c>
      <c r="G379" t="s">
        <v>1572</v>
      </c>
      <c r="H379" t="s">
        <v>1659</v>
      </c>
      <c r="I379" t="str">
        <f>IF(COUNTIF(Old_Patient_Records!$A$2:$A$549,Table4[[#This Row],[Patient_ID]])=0,"Orphan","Valid")</f>
        <v>Valid</v>
      </c>
    </row>
    <row r="380" spans="1:9" x14ac:dyDescent="0.35">
      <c r="A380" t="s">
        <v>2323</v>
      </c>
      <c r="B380" t="s">
        <v>1368</v>
      </c>
      <c r="C380" t="s">
        <v>1591</v>
      </c>
      <c r="D380" t="s">
        <v>2324</v>
      </c>
      <c r="E380">
        <v>111.7</v>
      </c>
      <c r="F380" t="s">
        <v>1593</v>
      </c>
      <c r="G380" t="s">
        <v>1594</v>
      </c>
      <c r="H380" t="s">
        <v>1578</v>
      </c>
      <c r="I380" t="str">
        <f>IF(COUNTIF(Old_Patient_Records!$A$2:$A$549,Table4[[#This Row],[Patient_ID]])=0,"Orphan","Valid")</f>
        <v>Valid</v>
      </c>
    </row>
    <row r="381" spans="1:9" x14ac:dyDescent="0.35">
      <c r="A381" t="s">
        <v>2325</v>
      </c>
      <c r="B381" t="s">
        <v>228</v>
      </c>
      <c r="C381" t="s">
        <v>1614</v>
      </c>
      <c r="D381" t="s">
        <v>2326</v>
      </c>
      <c r="E381">
        <v>43.4</v>
      </c>
      <c r="F381" t="s">
        <v>1616</v>
      </c>
      <c r="G381" t="s">
        <v>1617</v>
      </c>
      <c r="H381" t="s">
        <v>1567</v>
      </c>
      <c r="I381" t="str">
        <f>IF(COUNTIF(Old_Patient_Records!$A$2:$A$549,Table4[[#This Row],[Patient_ID]])=0,"Orphan","Valid")</f>
        <v>Valid</v>
      </c>
    </row>
    <row r="382" spans="1:9" x14ac:dyDescent="0.35">
      <c r="A382" t="s">
        <v>2327</v>
      </c>
      <c r="B382" t="s">
        <v>1407</v>
      </c>
      <c r="C382" t="s">
        <v>1563</v>
      </c>
      <c r="D382" t="s">
        <v>2328</v>
      </c>
      <c r="E382">
        <v>118.6</v>
      </c>
      <c r="F382" t="s">
        <v>1565</v>
      </c>
      <c r="G382" t="s">
        <v>1566</v>
      </c>
      <c r="H382" t="s">
        <v>1589</v>
      </c>
      <c r="I382" t="str">
        <f>IF(COUNTIF(Old_Patient_Records!$A$2:$A$549,Table4[[#This Row],[Patient_ID]])=0,"Orphan","Valid")</f>
        <v>Valid</v>
      </c>
    </row>
    <row r="383" spans="1:9" x14ac:dyDescent="0.35">
      <c r="A383" t="s">
        <v>2329</v>
      </c>
      <c r="B383" t="s">
        <v>1215</v>
      </c>
      <c r="C383" t="s">
        <v>1563</v>
      </c>
      <c r="D383" t="s">
        <v>2330</v>
      </c>
      <c r="E383">
        <v>166.3</v>
      </c>
      <c r="F383" t="s">
        <v>1565</v>
      </c>
      <c r="G383" t="s">
        <v>1566</v>
      </c>
      <c r="H383" t="s">
        <v>1589</v>
      </c>
      <c r="I383" t="str">
        <f>IF(COUNTIF(Old_Patient_Records!$A$2:$A$549,Table4[[#This Row],[Patient_ID]])=0,"Orphan","Valid")</f>
        <v>Valid</v>
      </c>
    </row>
    <row r="384" spans="1:9" x14ac:dyDescent="0.35">
      <c r="A384" t="s">
        <v>2331</v>
      </c>
      <c r="B384" t="s">
        <v>1380</v>
      </c>
      <c r="C384" t="s">
        <v>1563</v>
      </c>
      <c r="D384" t="s">
        <v>2332</v>
      </c>
      <c r="E384">
        <v>219.5</v>
      </c>
      <c r="F384" t="s">
        <v>1565</v>
      </c>
      <c r="G384" t="s">
        <v>1566</v>
      </c>
      <c r="H384" t="s">
        <v>1578</v>
      </c>
      <c r="I384" t="str">
        <f>IF(COUNTIF(Old_Patient_Records!$A$2:$A$549,Table4[[#This Row],[Patient_ID]])=0,"Orphan","Valid")</f>
        <v>Valid</v>
      </c>
    </row>
    <row r="385" spans="1:9" x14ac:dyDescent="0.35">
      <c r="A385" t="s">
        <v>2333</v>
      </c>
      <c r="B385" t="s">
        <v>839</v>
      </c>
      <c r="C385" t="s">
        <v>1591</v>
      </c>
      <c r="D385" t="s">
        <v>2334</v>
      </c>
      <c r="E385">
        <v>227.3</v>
      </c>
      <c r="F385" t="s">
        <v>1593</v>
      </c>
      <c r="G385" t="s">
        <v>1594</v>
      </c>
      <c r="H385" t="s">
        <v>1567</v>
      </c>
      <c r="I385" t="str">
        <f>IF(COUNTIF(Old_Patient_Records!$A$2:$A$549,Table4[[#This Row],[Patient_ID]])=0,"Orphan","Valid")</f>
        <v>Valid</v>
      </c>
    </row>
    <row r="386" spans="1:9" x14ac:dyDescent="0.35">
      <c r="A386" t="s">
        <v>2335</v>
      </c>
      <c r="B386" t="s">
        <v>1009</v>
      </c>
      <c r="C386" t="s">
        <v>1585</v>
      </c>
      <c r="D386" t="s">
        <v>2336</v>
      </c>
      <c r="E386">
        <v>201.1</v>
      </c>
      <c r="F386" t="s">
        <v>1587</v>
      </c>
      <c r="G386" t="s">
        <v>1588</v>
      </c>
      <c r="I386" t="str">
        <f>IF(COUNTIF(Old_Patient_Records!$A$2:$A$549,Table4[[#This Row],[Patient_ID]])=0,"Orphan","Valid")</f>
        <v>Valid</v>
      </c>
    </row>
    <row r="387" spans="1:9" x14ac:dyDescent="0.35">
      <c r="A387" t="s">
        <v>2337</v>
      </c>
      <c r="B387" t="s">
        <v>492</v>
      </c>
      <c r="C387" t="s">
        <v>1591</v>
      </c>
      <c r="D387" t="s">
        <v>2338</v>
      </c>
      <c r="E387">
        <v>86.5</v>
      </c>
      <c r="F387" t="s">
        <v>1593</v>
      </c>
      <c r="G387" t="s">
        <v>1594</v>
      </c>
      <c r="H387" t="s">
        <v>1583</v>
      </c>
      <c r="I387" t="str">
        <f>IF(COUNTIF(Old_Patient_Records!$A$2:$A$549,Table4[[#This Row],[Patient_ID]])=0,"Orphan","Valid")</f>
        <v>Valid</v>
      </c>
    </row>
    <row r="388" spans="1:9" x14ac:dyDescent="0.35">
      <c r="A388" t="s">
        <v>2339</v>
      </c>
      <c r="B388" t="s">
        <v>629</v>
      </c>
      <c r="C388" t="s">
        <v>1614</v>
      </c>
      <c r="D388" t="s">
        <v>2340</v>
      </c>
      <c r="E388">
        <v>111.6</v>
      </c>
      <c r="F388" t="s">
        <v>1616</v>
      </c>
      <c r="G388" t="s">
        <v>1617</v>
      </c>
      <c r="H388" t="s">
        <v>1583</v>
      </c>
      <c r="I388" t="str">
        <f>IF(COUNTIF(Old_Patient_Records!$A$2:$A$549,Table4[[#This Row],[Patient_ID]])=0,"Orphan","Valid")</f>
        <v>Valid</v>
      </c>
    </row>
    <row r="389" spans="1:9" x14ac:dyDescent="0.35">
      <c r="A389" t="s">
        <v>2341</v>
      </c>
      <c r="B389" t="s">
        <v>1301</v>
      </c>
      <c r="C389" t="s">
        <v>1563</v>
      </c>
      <c r="D389" t="s">
        <v>2342</v>
      </c>
      <c r="E389">
        <v>15.9</v>
      </c>
      <c r="F389" t="s">
        <v>1565</v>
      </c>
      <c r="G389" t="s">
        <v>1566</v>
      </c>
      <c r="H389" t="s">
        <v>1608</v>
      </c>
      <c r="I389" t="str">
        <f>IF(COUNTIF(Old_Patient_Records!$A$2:$A$549,Table4[[#This Row],[Patient_ID]])=0,"Orphan","Valid")</f>
        <v>Valid</v>
      </c>
    </row>
    <row r="390" spans="1:9" x14ac:dyDescent="0.35">
      <c r="A390" t="s">
        <v>2343</v>
      </c>
      <c r="B390" t="s">
        <v>1203</v>
      </c>
      <c r="C390" t="s">
        <v>1614</v>
      </c>
      <c r="D390" t="s">
        <v>2344</v>
      </c>
      <c r="E390">
        <v>232.6</v>
      </c>
      <c r="F390" t="s">
        <v>1616</v>
      </c>
      <c r="G390" t="s">
        <v>1617</v>
      </c>
      <c r="H390" t="s">
        <v>1578</v>
      </c>
      <c r="I390" t="str">
        <f>IF(COUNTIF(Old_Patient_Records!$A$2:$A$549,Table4[[#This Row],[Patient_ID]])=0,"Orphan","Valid")</f>
        <v>Valid</v>
      </c>
    </row>
    <row r="391" spans="1:9" x14ac:dyDescent="0.35">
      <c r="A391" t="s">
        <v>2345</v>
      </c>
      <c r="B391" t="s">
        <v>180</v>
      </c>
      <c r="C391" t="s">
        <v>1614</v>
      </c>
      <c r="D391" t="s">
        <v>356</v>
      </c>
      <c r="E391">
        <v>205.1</v>
      </c>
      <c r="F391" t="s">
        <v>1616</v>
      </c>
      <c r="G391" t="s">
        <v>1617</v>
      </c>
      <c r="H391" t="s">
        <v>1573</v>
      </c>
      <c r="I391" t="str">
        <f>IF(COUNTIF(Old_Patient_Records!$A$2:$A$549,Table4[[#This Row],[Patient_ID]])=0,"Orphan","Valid")</f>
        <v>Valid</v>
      </c>
    </row>
    <row r="392" spans="1:9" x14ac:dyDescent="0.35">
      <c r="A392" t="s">
        <v>2346</v>
      </c>
      <c r="B392" t="s">
        <v>186</v>
      </c>
      <c r="C392" t="s">
        <v>1580</v>
      </c>
      <c r="D392" t="s">
        <v>2347</v>
      </c>
      <c r="E392">
        <v>59.3</v>
      </c>
      <c r="F392" t="s">
        <v>1571</v>
      </c>
      <c r="G392" t="s">
        <v>1582</v>
      </c>
      <c r="H392" t="s">
        <v>1567</v>
      </c>
      <c r="I392" t="str">
        <f>IF(COUNTIF(Old_Patient_Records!$A$2:$A$549,Table4[[#This Row],[Patient_ID]])=0,"Orphan","Valid")</f>
        <v>Valid</v>
      </c>
    </row>
    <row r="393" spans="1:9" x14ac:dyDescent="0.35">
      <c r="A393" t="s">
        <v>2348</v>
      </c>
      <c r="B393" t="s">
        <v>294</v>
      </c>
      <c r="C393" t="s">
        <v>1614</v>
      </c>
      <c r="D393" t="s">
        <v>2349</v>
      </c>
      <c r="E393">
        <v>201.6</v>
      </c>
      <c r="F393" t="s">
        <v>1616</v>
      </c>
      <c r="G393" t="s">
        <v>1617</v>
      </c>
      <c r="H393" t="s">
        <v>1583</v>
      </c>
      <c r="I393" t="str">
        <f>IF(COUNTIF(Old_Patient_Records!$A$2:$A$549,Table4[[#This Row],[Patient_ID]])=0,"Orphan","Valid")</f>
        <v>Valid</v>
      </c>
    </row>
    <row r="394" spans="1:9" x14ac:dyDescent="0.35">
      <c r="A394" t="s">
        <v>2350</v>
      </c>
      <c r="B394" t="s">
        <v>912</v>
      </c>
      <c r="C394" t="s">
        <v>1585</v>
      </c>
      <c r="D394" t="s">
        <v>2351</v>
      </c>
      <c r="E394">
        <v>193.4</v>
      </c>
      <c r="F394" t="s">
        <v>1587</v>
      </c>
      <c r="G394" t="s">
        <v>1588</v>
      </c>
      <c r="H394" t="s">
        <v>1578</v>
      </c>
      <c r="I394" t="str">
        <f>IF(COUNTIF(Old_Patient_Records!$A$2:$A$549,Table4[[#This Row],[Patient_ID]])=0,"Orphan","Valid")</f>
        <v>Valid</v>
      </c>
    </row>
    <row r="395" spans="1:9" x14ac:dyDescent="0.35">
      <c r="A395" t="s">
        <v>2352</v>
      </c>
      <c r="B395" t="s">
        <v>864</v>
      </c>
      <c r="C395" t="s">
        <v>1591</v>
      </c>
      <c r="D395" t="s">
        <v>2353</v>
      </c>
      <c r="E395">
        <v>196</v>
      </c>
      <c r="F395" t="s">
        <v>1593</v>
      </c>
      <c r="G395" t="s">
        <v>1594</v>
      </c>
      <c r="H395" t="s">
        <v>1659</v>
      </c>
      <c r="I395" t="str">
        <f>IF(COUNTIF(Old_Patient_Records!$A$2:$A$549,Table4[[#This Row],[Patient_ID]])=0,"Orphan","Valid")</f>
        <v>Valid</v>
      </c>
    </row>
    <row r="396" spans="1:9" x14ac:dyDescent="0.35">
      <c r="A396" t="s">
        <v>2354</v>
      </c>
      <c r="B396" t="s">
        <v>639</v>
      </c>
      <c r="C396" t="s">
        <v>1569</v>
      </c>
      <c r="D396" t="s">
        <v>2355</v>
      </c>
      <c r="E396">
        <v>8.5</v>
      </c>
      <c r="F396" t="s">
        <v>1571</v>
      </c>
      <c r="G396" t="s">
        <v>1572</v>
      </c>
      <c r="H396" t="s">
        <v>1578</v>
      </c>
      <c r="I396" t="str">
        <f>IF(COUNTIF(Old_Patient_Records!$A$2:$A$549,Table4[[#This Row],[Patient_ID]])=0,"Orphan","Valid")</f>
        <v>Valid</v>
      </c>
    </row>
    <row r="397" spans="1:9" x14ac:dyDescent="0.35">
      <c r="A397" t="s">
        <v>2356</v>
      </c>
      <c r="B397" t="s">
        <v>2357</v>
      </c>
      <c r="C397" t="s">
        <v>1614</v>
      </c>
      <c r="D397" t="s">
        <v>2358</v>
      </c>
      <c r="E397">
        <v>36.799999999999997</v>
      </c>
      <c r="F397" t="s">
        <v>1616</v>
      </c>
      <c r="G397" t="s">
        <v>1617</v>
      </c>
      <c r="H397" t="s">
        <v>1573</v>
      </c>
      <c r="I397" t="str">
        <f>IF(COUNTIF(Old_Patient_Records!$A$2:$A$549,Table4[[#This Row],[Patient_ID]])=0,"Orphan","Valid")</f>
        <v>Orphan</v>
      </c>
    </row>
    <row r="398" spans="1:9" x14ac:dyDescent="0.35">
      <c r="A398" t="s">
        <v>2359</v>
      </c>
      <c r="B398" t="s">
        <v>528</v>
      </c>
      <c r="C398" t="s">
        <v>1585</v>
      </c>
      <c r="D398" t="s">
        <v>2096</v>
      </c>
      <c r="E398">
        <v>227</v>
      </c>
      <c r="F398" t="s">
        <v>1587</v>
      </c>
      <c r="G398" t="s">
        <v>1588</v>
      </c>
      <c r="H398" t="s">
        <v>1608</v>
      </c>
      <c r="I398" t="str">
        <f>IF(COUNTIF(Old_Patient_Records!$A$2:$A$549,Table4[[#This Row],[Patient_ID]])=0,"Orphan","Valid")</f>
        <v>Valid</v>
      </c>
    </row>
    <row r="399" spans="1:9" x14ac:dyDescent="0.35">
      <c r="A399" t="s">
        <v>2360</v>
      </c>
      <c r="B399" t="s">
        <v>271</v>
      </c>
      <c r="C399" t="s">
        <v>1563</v>
      </c>
      <c r="D399" t="s">
        <v>2361</v>
      </c>
      <c r="E399">
        <v>23.7</v>
      </c>
      <c r="F399" t="s">
        <v>1565</v>
      </c>
      <c r="G399" t="s">
        <v>1566</v>
      </c>
      <c r="H399" t="s">
        <v>1578</v>
      </c>
      <c r="I399" t="str">
        <f>IF(COUNTIF(Old_Patient_Records!$A$2:$A$549,Table4[[#This Row],[Patient_ID]])=0,"Orphan","Valid")</f>
        <v>Valid</v>
      </c>
    </row>
    <row r="400" spans="1:9" x14ac:dyDescent="0.35">
      <c r="A400" t="s">
        <v>2362</v>
      </c>
      <c r="B400" t="s">
        <v>819</v>
      </c>
      <c r="C400" t="s">
        <v>1580</v>
      </c>
      <c r="D400" t="s">
        <v>2363</v>
      </c>
      <c r="E400">
        <v>241.5</v>
      </c>
      <c r="F400" t="s">
        <v>1571</v>
      </c>
      <c r="G400" t="s">
        <v>1582</v>
      </c>
      <c r="H400" t="s">
        <v>1608</v>
      </c>
      <c r="I400" t="str">
        <f>IF(COUNTIF(Old_Patient_Records!$A$2:$A$549,Table4[[#This Row],[Patient_ID]])=0,"Orphan","Valid")</f>
        <v>Valid</v>
      </c>
    </row>
    <row r="401" spans="1:9" x14ac:dyDescent="0.35">
      <c r="A401" t="s">
        <v>2364</v>
      </c>
      <c r="B401" t="s">
        <v>1497</v>
      </c>
      <c r="C401" t="s">
        <v>1591</v>
      </c>
      <c r="D401" t="s">
        <v>2365</v>
      </c>
      <c r="E401">
        <v>119</v>
      </c>
      <c r="F401" t="s">
        <v>1593</v>
      </c>
      <c r="G401" t="s">
        <v>1594</v>
      </c>
      <c r="H401" t="s">
        <v>1659</v>
      </c>
      <c r="I401" t="str">
        <f>IF(COUNTIF(Old_Patient_Records!$A$2:$A$549,Table4[[#This Row],[Patient_ID]])=0,"Orphan","Valid")</f>
        <v>Valid</v>
      </c>
    </row>
    <row r="402" spans="1:9" x14ac:dyDescent="0.35">
      <c r="A402" t="s">
        <v>2366</v>
      </c>
      <c r="B402" t="s">
        <v>1123</v>
      </c>
      <c r="C402" t="s">
        <v>1580</v>
      </c>
      <c r="D402" t="s">
        <v>2367</v>
      </c>
      <c r="E402">
        <v>202.6</v>
      </c>
      <c r="F402" t="s">
        <v>1571</v>
      </c>
      <c r="G402" t="s">
        <v>1582</v>
      </c>
      <c r="H402" t="s">
        <v>1567</v>
      </c>
      <c r="I402" t="str">
        <f>IF(COUNTIF(Old_Patient_Records!$A$2:$A$549,Table4[[#This Row],[Patient_ID]])=0,"Orphan","Valid")</f>
        <v>Valid</v>
      </c>
    </row>
    <row r="403" spans="1:9" x14ac:dyDescent="0.35">
      <c r="A403" t="s">
        <v>2368</v>
      </c>
      <c r="B403" t="s">
        <v>323</v>
      </c>
      <c r="C403" t="s">
        <v>1591</v>
      </c>
      <c r="D403" t="s">
        <v>2369</v>
      </c>
      <c r="E403">
        <v>248.1</v>
      </c>
      <c r="F403" t="s">
        <v>1593</v>
      </c>
      <c r="G403" t="s">
        <v>1594</v>
      </c>
      <c r="H403" t="s">
        <v>1583</v>
      </c>
      <c r="I403" t="str">
        <f>IF(COUNTIF(Old_Patient_Records!$A$2:$A$549,Table4[[#This Row],[Patient_ID]])=0,"Orphan","Valid")</f>
        <v>Valid</v>
      </c>
    </row>
    <row r="404" spans="1:9" x14ac:dyDescent="0.35">
      <c r="A404" t="s">
        <v>2370</v>
      </c>
      <c r="B404" t="s">
        <v>1359</v>
      </c>
      <c r="C404" t="s">
        <v>1585</v>
      </c>
      <c r="D404" t="s">
        <v>2371</v>
      </c>
      <c r="E404">
        <v>247.8</v>
      </c>
      <c r="F404" t="s">
        <v>1587</v>
      </c>
      <c r="G404" t="s">
        <v>1588</v>
      </c>
      <c r="H404" t="s">
        <v>1659</v>
      </c>
      <c r="I404" t="str">
        <f>IF(COUNTIF(Old_Patient_Records!$A$2:$A$549,Table4[[#This Row],[Patient_ID]])=0,"Orphan","Valid")</f>
        <v>Valid</v>
      </c>
    </row>
    <row r="405" spans="1:9" x14ac:dyDescent="0.35">
      <c r="A405" t="s">
        <v>2372</v>
      </c>
      <c r="B405" t="s">
        <v>1240</v>
      </c>
      <c r="C405" t="s">
        <v>1614</v>
      </c>
      <c r="D405" t="s">
        <v>2373</v>
      </c>
      <c r="E405">
        <v>30.4</v>
      </c>
      <c r="F405" t="s">
        <v>1616</v>
      </c>
      <c r="G405" t="s">
        <v>1617</v>
      </c>
      <c r="H405" t="s">
        <v>1589</v>
      </c>
      <c r="I405" t="str">
        <f>IF(COUNTIF(Old_Patient_Records!$A$2:$A$549,Table4[[#This Row],[Patient_ID]])=0,"Orphan","Valid")</f>
        <v>Valid</v>
      </c>
    </row>
    <row r="406" spans="1:9" x14ac:dyDescent="0.35">
      <c r="A406" t="s">
        <v>2374</v>
      </c>
      <c r="B406" t="s">
        <v>1374</v>
      </c>
      <c r="C406" t="s">
        <v>1569</v>
      </c>
      <c r="D406" t="s">
        <v>2375</v>
      </c>
      <c r="E406">
        <v>194.5</v>
      </c>
      <c r="F406" t="s">
        <v>1571</v>
      </c>
      <c r="G406" t="s">
        <v>1572</v>
      </c>
      <c r="H406" t="s">
        <v>1578</v>
      </c>
      <c r="I406" t="str">
        <f>IF(COUNTIF(Old_Patient_Records!$A$2:$A$549,Table4[[#This Row],[Patient_ID]])=0,"Orphan","Valid")</f>
        <v>Valid</v>
      </c>
    </row>
    <row r="407" spans="1:9" x14ac:dyDescent="0.35">
      <c r="A407" t="s">
        <v>2376</v>
      </c>
      <c r="B407" t="s">
        <v>1400</v>
      </c>
      <c r="C407" t="s">
        <v>1585</v>
      </c>
      <c r="D407" t="s">
        <v>2377</v>
      </c>
      <c r="E407">
        <v>141.6</v>
      </c>
      <c r="F407" t="s">
        <v>1587</v>
      </c>
      <c r="G407" t="s">
        <v>1588</v>
      </c>
      <c r="H407" t="s">
        <v>1659</v>
      </c>
      <c r="I407" t="str">
        <f>IF(COUNTIF(Old_Patient_Records!$A$2:$A$549,Table4[[#This Row],[Patient_ID]])=0,"Orphan","Valid")</f>
        <v>Valid</v>
      </c>
    </row>
    <row r="408" spans="1:9" x14ac:dyDescent="0.35">
      <c r="A408" t="s">
        <v>2378</v>
      </c>
      <c r="B408" t="s">
        <v>173</v>
      </c>
      <c r="C408" t="s">
        <v>1569</v>
      </c>
      <c r="D408" t="s">
        <v>2379</v>
      </c>
      <c r="F408" t="s">
        <v>1571</v>
      </c>
      <c r="G408" t="s">
        <v>1572</v>
      </c>
      <c r="H408" t="s">
        <v>1659</v>
      </c>
      <c r="I408" t="str">
        <f>IF(COUNTIF(Old_Patient_Records!$A$2:$A$549,Table4[[#This Row],[Patient_ID]])=0,"Orphan","Valid")</f>
        <v>Valid</v>
      </c>
    </row>
    <row r="409" spans="1:9" x14ac:dyDescent="0.35">
      <c r="A409" t="s">
        <v>2380</v>
      </c>
      <c r="B409" t="s">
        <v>57</v>
      </c>
      <c r="C409" t="s">
        <v>1585</v>
      </c>
      <c r="D409" t="s">
        <v>2381</v>
      </c>
      <c r="E409">
        <v>242.5</v>
      </c>
      <c r="F409" t="s">
        <v>1587</v>
      </c>
      <c r="G409" t="s">
        <v>1588</v>
      </c>
      <c r="H409" t="s">
        <v>1608</v>
      </c>
      <c r="I409" t="str">
        <f>IF(COUNTIF(Old_Patient_Records!$A$2:$A$549,Table4[[#This Row],[Patient_ID]])=0,"Orphan","Valid")</f>
        <v>Valid</v>
      </c>
    </row>
    <row r="410" spans="1:9" x14ac:dyDescent="0.35">
      <c r="A410" t="s">
        <v>2382</v>
      </c>
      <c r="B410" t="s">
        <v>405</v>
      </c>
      <c r="C410" t="s">
        <v>1591</v>
      </c>
      <c r="D410" t="s">
        <v>2383</v>
      </c>
      <c r="E410">
        <v>150.30000000000001</v>
      </c>
      <c r="F410" t="s">
        <v>1593</v>
      </c>
      <c r="G410" t="s">
        <v>1594</v>
      </c>
      <c r="H410" t="s">
        <v>1567</v>
      </c>
      <c r="I410" t="str">
        <f>IF(COUNTIF(Old_Patient_Records!$A$2:$A$549,Table4[[#This Row],[Patient_ID]])=0,"Orphan","Valid")</f>
        <v>Valid</v>
      </c>
    </row>
    <row r="411" spans="1:9" x14ac:dyDescent="0.35">
      <c r="A411" t="s">
        <v>2384</v>
      </c>
      <c r="B411" t="s">
        <v>926</v>
      </c>
      <c r="C411" t="s">
        <v>1585</v>
      </c>
      <c r="D411" t="s">
        <v>2385</v>
      </c>
      <c r="E411">
        <v>136.6</v>
      </c>
      <c r="F411" t="s">
        <v>1587</v>
      </c>
      <c r="G411" t="s">
        <v>1588</v>
      </c>
      <c r="H411" t="s">
        <v>1567</v>
      </c>
      <c r="I411" t="str">
        <f>IF(COUNTIF(Old_Patient_Records!$A$2:$A$549,Table4[[#This Row],[Patient_ID]])=0,"Orphan","Valid")</f>
        <v>Valid</v>
      </c>
    </row>
    <row r="412" spans="1:9" x14ac:dyDescent="0.35">
      <c r="A412" t="s">
        <v>2386</v>
      </c>
      <c r="B412" t="s">
        <v>463</v>
      </c>
      <c r="C412" t="s">
        <v>1563</v>
      </c>
      <c r="D412" t="s">
        <v>2387</v>
      </c>
      <c r="E412">
        <v>175.5</v>
      </c>
      <c r="F412" t="s">
        <v>1565</v>
      </c>
      <c r="G412" t="s">
        <v>1566</v>
      </c>
      <c r="H412" t="s">
        <v>1659</v>
      </c>
      <c r="I412" t="str">
        <f>IF(COUNTIF(Old_Patient_Records!$A$2:$A$549,Table4[[#This Row],[Patient_ID]])=0,"Orphan","Valid")</f>
        <v>Valid</v>
      </c>
    </row>
    <row r="413" spans="1:9" x14ac:dyDescent="0.35">
      <c r="A413" t="s">
        <v>2388</v>
      </c>
      <c r="B413" t="s">
        <v>1489</v>
      </c>
      <c r="C413" t="s">
        <v>1614</v>
      </c>
      <c r="D413" t="s">
        <v>2389</v>
      </c>
      <c r="E413">
        <v>94.1</v>
      </c>
      <c r="F413" t="s">
        <v>1616</v>
      </c>
      <c r="G413" t="s">
        <v>1617</v>
      </c>
      <c r="H413" t="s">
        <v>1567</v>
      </c>
      <c r="I413" t="str">
        <f>IF(COUNTIF(Old_Patient_Records!$A$2:$A$549,Table4[[#This Row],[Patient_ID]])=0,"Orphan","Valid")</f>
        <v>Valid</v>
      </c>
    </row>
    <row r="414" spans="1:9" x14ac:dyDescent="0.35">
      <c r="A414" t="s">
        <v>2390</v>
      </c>
      <c r="B414" t="s">
        <v>969</v>
      </c>
      <c r="C414" t="s">
        <v>1580</v>
      </c>
      <c r="D414" t="s">
        <v>2052</v>
      </c>
      <c r="E414">
        <v>50.3</v>
      </c>
      <c r="F414" t="s">
        <v>1571</v>
      </c>
      <c r="G414" t="s">
        <v>1582</v>
      </c>
      <c r="H414" t="s">
        <v>1608</v>
      </c>
      <c r="I414" t="str">
        <f>IF(COUNTIF(Old_Patient_Records!$A$2:$A$549,Table4[[#This Row],[Patient_ID]])=0,"Orphan","Valid")</f>
        <v>Valid</v>
      </c>
    </row>
    <row r="415" spans="1:9" x14ac:dyDescent="0.35">
      <c r="A415" t="s">
        <v>2391</v>
      </c>
      <c r="B415" t="s">
        <v>809</v>
      </c>
      <c r="C415" t="s">
        <v>1563</v>
      </c>
      <c r="D415" t="s">
        <v>2392</v>
      </c>
      <c r="E415">
        <v>193.2</v>
      </c>
      <c r="F415" t="s">
        <v>1565</v>
      </c>
      <c r="G415" t="s">
        <v>1566</v>
      </c>
      <c r="H415" t="s">
        <v>1578</v>
      </c>
      <c r="I415" t="str">
        <f>IF(COUNTIF(Old_Patient_Records!$A$2:$A$549,Table4[[#This Row],[Patient_ID]])=0,"Orphan","Valid")</f>
        <v>Valid</v>
      </c>
    </row>
    <row r="416" spans="1:9" x14ac:dyDescent="0.35">
      <c r="A416" t="s">
        <v>2393</v>
      </c>
      <c r="B416" t="s">
        <v>724</v>
      </c>
      <c r="C416" t="s">
        <v>1591</v>
      </c>
      <c r="D416" t="s">
        <v>2394</v>
      </c>
      <c r="E416">
        <v>17</v>
      </c>
      <c r="F416" t="s">
        <v>1593</v>
      </c>
      <c r="G416" t="s">
        <v>1594</v>
      </c>
      <c r="H416" t="s">
        <v>1583</v>
      </c>
      <c r="I416" t="str">
        <f>IF(COUNTIF(Old_Patient_Records!$A$2:$A$549,Table4[[#This Row],[Patient_ID]])=0,"Orphan","Valid")</f>
        <v>Valid</v>
      </c>
    </row>
    <row r="417" spans="1:9" x14ac:dyDescent="0.35">
      <c r="A417" t="s">
        <v>2395</v>
      </c>
      <c r="B417" t="s">
        <v>890</v>
      </c>
      <c r="C417" t="s">
        <v>1591</v>
      </c>
      <c r="D417" t="s">
        <v>241</v>
      </c>
      <c r="E417">
        <v>227</v>
      </c>
      <c r="F417" t="s">
        <v>1593</v>
      </c>
      <c r="G417" t="s">
        <v>1594</v>
      </c>
      <c r="H417" t="s">
        <v>1567</v>
      </c>
      <c r="I417" t="str">
        <f>IF(COUNTIF(Old_Patient_Records!$A$2:$A$549,Table4[[#This Row],[Patient_ID]])=0,"Orphan","Valid")</f>
        <v>Valid</v>
      </c>
    </row>
    <row r="418" spans="1:9" x14ac:dyDescent="0.35">
      <c r="A418" t="s">
        <v>2396</v>
      </c>
      <c r="B418" t="s">
        <v>1209</v>
      </c>
      <c r="C418" t="s">
        <v>1563</v>
      </c>
      <c r="D418" t="s">
        <v>930</v>
      </c>
      <c r="E418">
        <v>27.8</v>
      </c>
      <c r="F418" t="s">
        <v>1565</v>
      </c>
      <c r="G418" t="s">
        <v>1566</v>
      </c>
      <c r="H418" t="s">
        <v>1608</v>
      </c>
      <c r="I418" t="str">
        <f>IF(COUNTIF(Old_Patient_Records!$A$2:$A$549,Table4[[#This Row],[Patient_ID]])=0,"Orphan","Valid")</f>
        <v>Valid</v>
      </c>
    </row>
    <row r="419" spans="1:9" x14ac:dyDescent="0.35">
      <c r="A419" t="s">
        <v>2397</v>
      </c>
      <c r="B419" t="s">
        <v>38</v>
      </c>
      <c r="C419" t="s">
        <v>1580</v>
      </c>
      <c r="D419" t="s">
        <v>2398</v>
      </c>
      <c r="E419">
        <v>31.2</v>
      </c>
      <c r="F419" t="s">
        <v>1571</v>
      </c>
      <c r="G419" t="s">
        <v>1582</v>
      </c>
      <c r="H419" t="s">
        <v>1644</v>
      </c>
      <c r="I419" t="str">
        <f>IF(COUNTIF(Old_Patient_Records!$A$2:$A$549,Table4[[#This Row],[Patient_ID]])=0,"Orphan","Valid")</f>
        <v>Valid</v>
      </c>
    </row>
    <row r="420" spans="1:9" x14ac:dyDescent="0.35">
      <c r="A420" t="s">
        <v>2399</v>
      </c>
      <c r="B420" t="s">
        <v>109</v>
      </c>
      <c r="C420" t="s">
        <v>1591</v>
      </c>
      <c r="D420" t="s">
        <v>2400</v>
      </c>
      <c r="E420">
        <v>149.80000000000001</v>
      </c>
      <c r="F420" t="s">
        <v>1593</v>
      </c>
      <c r="G420" t="s">
        <v>1594</v>
      </c>
      <c r="H420" t="s">
        <v>1659</v>
      </c>
      <c r="I420" t="str">
        <f>IF(COUNTIF(Old_Patient_Records!$A$2:$A$549,Table4[[#This Row],[Patient_ID]])=0,"Orphan","Valid")</f>
        <v>Valid</v>
      </c>
    </row>
    <row r="421" spans="1:9" x14ac:dyDescent="0.35">
      <c r="A421" t="s">
        <v>2401</v>
      </c>
      <c r="B421" t="s">
        <v>368</v>
      </c>
      <c r="C421" t="s">
        <v>1569</v>
      </c>
      <c r="D421" t="s">
        <v>2402</v>
      </c>
      <c r="F421" t="s">
        <v>1571</v>
      </c>
      <c r="G421" t="s">
        <v>1572</v>
      </c>
      <c r="H421" t="s">
        <v>1589</v>
      </c>
      <c r="I421" t="str">
        <f>IF(COUNTIF(Old_Patient_Records!$A$2:$A$549,Table4[[#This Row],[Patient_ID]])=0,"Orphan","Valid")</f>
        <v>Valid</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Views>
    <sheetView showGridLines="0" zoomScale="53" workbookViewId="0">
      <selection activeCell="L18" sqref="L18"/>
    </sheetView>
  </sheetViews>
  <sheetFormatPr defaultColWidth="14.1796875" defaultRowHeight="14.5" x14ac:dyDescent="0.35"/>
  <cols>
    <col min="1" max="1" width="16.7265625" customWidth="1"/>
    <col min="2" max="2" width="21.7265625" style="10" customWidth="1"/>
    <col min="3" max="3" width="11.08984375" style="10" customWidth="1"/>
    <col min="4" max="4" width="18.26953125" style="10" customWidth="1"/>
    <col min="5" max="5" width="15.90625" style="10" customWidth="1"/>
    <col min="6" max="6" width="5.36328125" style="10" customWidth="1"/>
    <col min="7" max="7" width="5.90625" style="10" customWidth="1"/>
    <col min="8" max="9" width="11.08984375" style="10" customWidth="1"/>
    <col min="10" max="13" width="10.08984375" style="10" customWidth="1"/>
    <col min="14" max="14" width="14.90625" style="10" customWidth="1"/>
    <col min="15" max="15" width="14.36328125" customWidth="1"/>
    <col min="16" max="16" width="19" customWidth="1"/>
    <col min="17" max="17" width="19.453125" customWidth="1"/>
    <col min="18" max="18" width="11.453125" customWidth="1"/>
    <col min="19" max="19" width="12.453125" customWidth="1"/>
    <col min="20" max="20" width="15.7265625" bestFit="1" customWidth="1"/>
    <col min="21" max="21" width="19.90625" bestFit="1" customWidth="1"/>
    <col min="22" max="22" width="5.1796875" customWidth="1"/>
    <col min="23" max="23" width="6" customWidth="1"/>
    <col min="24" max="24" width="11.26953125" customWidth="1"/>
  </cols>
  <sheetData>
    <row r="1" spans="1:17" ht="17" customHeight="1" x14ac:dyDescent="0.35"/>
    <row r="2" spans="1:17" x14ac:dyDescent="0.35">
      <c r="A2" s="7" t="s">
        <v>2564</v>
      </c>
      <c r="B2" s="10" t="s">
        <v>2561</v>
      </c>
      <c r="D2" s="7" t="s">
        <v>2536</v>
      </c>
      <c r="E2" s="9" t="s">
        <v>3</v>
      </c>
      <c r="O2" s="7" t="s">
        <v>2565</v>
      </c>
      <c r="P2" t="s">
        <v>2542</v>
      </c>
      <c r="Q2" t="s">
        <v>2566</v>
      </c>
    </row>
    <row r="3" spans="1:17" x14ac:dyDescent="0.35">
      <c r="A3" s="8" t="s">
        <v>280</v>
      </c>
      <c r="B3" s="2">
        <v>29863.70111111111</v>
      </c>
      <c r="D3" s="7" t="s">
        <v>11</v>
      </c>
      <c r="E3" s="10" t="s">
        <v>138</v>
      </c>
      <c r="F3" s="10" t="s">
        <v>29</v>
      </c>
      <c r="G3" s="10" t="s">
        <v>52</v>
      </c>
      <c r="H3" s="10" t="s">
        <v>2535</v>
      </c>
      <c r="O3" s="8" t="s">
        <v>2523</v>
      </c>
      <c r="P3" s="2">
        <v>189</v>
      </c>
      <c r="Q3" s="12">
        <v>0.35</v>
      </c>
    </row>
    <row r="4" spans="1:17" x14ac:dyDescent="0.35">
      <c r="A4" s="8" t="s">
        <v>124</v>
      </c>
      <c r="B4" s="2">
        <v>28203.213499999994</v>
      </c>
      <c r="C4" s="13"/>
      <c r="D4" s="8" t="s">
        <v>69</v>
      </c>
      <c r="E4" s="11">
        <v>43</v>
      </c>
      <c r="F4" s="11">
        <v>49</v>
      </c>
      <c r="G4" s="11">
        <v>14</v>
      </c>
      <c r="H4" s="11">
        <v>106</v>
      </c>
      <c r="I4" s="13"/>
      <c r="J4" s="13"/>
      <c r="K4" s="13"/>
      <c r="L4" s="13"/>
      <c r="M4" s="13"/>
      <c r="N4" s="13"/>
      <c r="O4" s="8" t="s">
        <v>2521</v>
      </c>
      <c r="P4" s="2">
        <v>107</v>
      </c>
      <c r="Q4" s="12">
        <v>0.19814814814814816</v>
      </c>
    </row>
    <row r="5" spans="1:17" x14ac:dyDescent="0.35">
      <c r="A5" s="8" t="s">
        <v>112</v>
      </c>
      <c r="B5" s="2">
        <v>27518.682272727277</v>
      </c>
      <c r="C5" s="11"/>
      <c r="D5" s="8" t="s">
        <v>143</v>
      </c>
      <c r="E5" s="11">
        <v>13</v>
      </c>
      <c r="F5" s="11">
        <v>17</v>
      </c>
      <c r="G5" s="11">
        <v>4</v>
      </c>
      <c r="H5" s="11">
        <v>34</v>
      </c>
      <c r="I5" s="11"/>
      <c r="J5" s="11"/>
      <c r="K5" s="11"/>
      <c r="L5" s="11"/>
      <c r="M5" s="11"/>
      <c r="N5" s="11"/>
      <c r="O5" s="8" t="s">
        <v>2525</v>
      </c>
      <c r="P5" s="2">
        <v>181</v>
      </c>
      <c r="Q5" s="12">
        <v>0.3351851851851852</v>
      </c>
    </row>
    <row r="6" spans="1:17" x14ac:dyDescent="0.35">
      <c r="A6" s="8" t="s">
        <v>295</v>
      </c>
      <c r="B6" s="2">
        <v>26509.152222222227</v>
      </c>
      <c r="C6" s="11"/>
      <c r="D6" s="8" t="s">
        <v>42</v>
      </c>
      <c r="E6" s="11">
        <v>19</v>
      </c>
      <c r="F6" s="11">
        <v>20</v>
      </c>
      <c r="G6" s="11">
        <v>5</v>
      </c>
      <c r="H6" s="11">
        <v>44</v>
      </c>
      <c r="I6" s="11"/>
      <c r="J6" s="11"/>
      <c r="K6" s="11"/>
      <c r="L6" s="11"/>
      <c r="M6" s="11"/>
      <c r="N6" s="11"/>
      <c r="O6" s="8" t="s">
        <v>36</v>
      </c>
      <c r="P6" s="2">
        <v>20</v>
      </c>
      <c r="Q6" s="12">
        <v>3.7037037037037035E-2</v>
      </c>
    </row>
    <row r="7" spans="1:17" x14ac:dyDescent="0.35">
      <c r="A7" s="8" t="s">
        <v>74</v>
      </c>
      <c r="B7" s="2">
        <v>26317.880000000008</v>
      </c>
      <c r="C7" s="11"/>
      <c r="D7" s="8" t="s">
        <v>2537</v>
      </c>
      <c r="E7" s="11">
        <v>13</v>
      </c>
      <c r="F7" s="11">
        <v>10</v>
      </c>
      <c r="G7" s="11">
        <v>6</v>
      </c>
      <c r="H7" s="11">
        <v>29</v>
      </c>
      <c r="I7" s="11"/>
      <c r="J7" s="11"/>
      <c r="K7" s="11"/>
      <c r="L7" s="11"/>
      <c r="M7" s="11"/>
      <c r="N7" s="11"/>
      <c r="O7" s="8" t="s">
        <v>2527</v>
      </c>
      <c r="P7" s="2">
        <v>43</v>
      </c>
      <c r="Q7" s="12">
        <v>7.9629629629629634E-2</v>
      </c>
    </row>
    <row r="8" spans="1:17" x14ac:dyDescent="0.35">
      <c r="A8" s="8" t="s">
        <v>102</v>
      </c>
      <c r="B8" s="2">
        <v>25305.121799999997</v>
      </c>
      <c r="C8" s="11"/>
      <c r="D8" s="8" t="s">
        <v>55</v>
      </c>
      <c r="E8" s="11">
        <v>20</v>
      </c>
      <c r="F8" s="11">
        <v>15</v>
      </c>
      <c r="G8" s="11">
        <v>6</v>
      </c>
      <c r="H8" s="11">
        <v>41</v>
      </c>
      <c r="I8" s="11"/>
      <c r="J8" s="11"/>
      <c r="K8" s="11"/>
      <c r="L8" s="11"/>
      <c r="M8" s="11"/>
      <c r="N8" s="11"/>
      <c r="O8" s="8" t="s">
        <v>2535</v>
      </c>
      <c r="P8" s="2">
        <v>540</v>
      </c>
      <c r="Q8" s="12">
        <v>1</v>
      </c>
    </row>
    <row r="9" spans="1:17" x14ac:dyDescent="0.35">
      <c r="A9" s="8" t="s">
        <v>80</v>
      </c>
      <c r="B9" s="2">
        <v>25286.913043478267</v>
      </c>
      <c r="C9" s="11"/>
      <c r="D9" s="8" t="s">
        <v>175</v>
      </c>
      <c r="E9" s="11">
        <v>13</v>
      </c>
      <c r="F9" s="11">
        <v>15</v>
      </c>
      <c r="G9" s="11">
        <v>9</v>
      </c>
      <c r="H9" s="11">
        <v>37</v>
      </c>
      <c r="I9" s="11"/>
      <c r="J9" s="11"/>
      <c r="K9" s="11"/>
      <c r="L9" s="11"/>
      <c r="M9" s="11"/>
      <c r="N9" s="11"/>
    </row>
    <row r="10" spans="1:17" x14ac:dyDescent="0.35">
      <c r="A10" s="8" t="s">
        <v>191</v>
      </c>
      <c r="B10" s="2">
        <v>24962.894736842107</v>
      </c>
      <c r="C10" s="11"/>
      <c r="D10" s="8" t="s">
        <v>86</v>
      </c>
      <c r="E10" s="11">
        <v>14</v>
      </c>
      <c r="F10" s="11">
        <v>14</v>
      </c>
      <c r="G10" s="11">
        <v>6</v>
      </c>
      <c r="H10" s="11">
        <v>34</v>
      </c>
      <c r="I10" s="11"/>
      <c r="J10" s="11"/>
      <c r="K10" s="11"/>
      <c r="L10" s="11"/>
      <c r="M10" s="11"/>
      <c r="N10" s="11"/>
      <c r="O10" s="22" t="s">
        <v>2563</v>
      </c>
      <c r="P10" s="23"/>
    </row>
    <row r="11" spans="1:17" x14ac:dyDescent="0.35">
      <c r="A11" s="8" t="s">
        <v>60</v>
      </c>
      <c r="B11" s="2">
        <v>24791.925609756097</v>
      </c>
      <c r="C11" s="11"/>
      <c r="D11" s="8" t="s">
        <v>226</v>
      </c>
      <c r="E11" s="11">
        <v>16</v>
      </c>
      <c r="F11" s="11">
        <v>15</v>
      </c>
      <c r="G11" s="11">
        <v>3</v>
      </c>
      <c r="H11" s="11">
        <v>34</v>
      </c>
      <c r="I11" s="11"/>
      <c r="J11" s="11"/>
      <c r="K11" s="11"/>
      <c r="L11" s="11"/>
      <c r="M11" s="11"/>
      <c r="N11" s="11"/>
      <c r="O11" s="7" t="s">
        <v>2534</v>
      </c>
      <c r="P11" t="s">
        <v>2562</v>
      </c>
    </row>
    <row r="12" spans="1:17" x14ac:dyDescent="0.35">
      <c r="A12" s="8" t="s">
        <v>417</v>
      </c>
      <c r="B12" s="2">
        <v>24616.859999999997</v>
      </c>
      <c r="C12" s="11"/>
      <c r="D12" s="8" t="s">
        <v>103</v>
      </c>
      <c r="E12" s="11">
        <v>15</v>
      </c>
      <c r="F12" s="11">
        <v>15</v>
      </c>
      <c r="G12" s="11"/>
      <c r="H12" s="11">
        <v>30</v>
      </c>
      <c r="I12" s="11"/>
      <c r="J12" s="11"/>
      <c r="K12" s="11"/>
      <c r="L12" s="11"/>
      <c r="M12" s="11"/>
      <c r="N12" s="11"/>
      <c r="O12" s="8" t="s">
        <v>279</v>
      </c>
      <c r="P12" s="2">
        <v>97966.799999999988</v>
      </c>
    </row>
    <row r="13" spans="1:17" x14ac:dyDescent="0.35">
      <c r="A13" s="8" t="s">
        <v>2535</v>
      </c>
      <c r="B13" s="2">
        <v>26064.251475409841</v>
      </c>
      <c r="C13" s="11"/>
      <c r="D13" s="8" t="s">
        <v>107</v>
      </c>
      <c r="E13" s="11">
        <v>38</v>
      </c>
      <c r="F13" s="11">
        <v>35</v>
      </c>
      <c r="G13" s="11">
        <v>9</v>
      </c>
      <c r="H13" s="11">
        <v>82</v>
      </c>
      <c r="I13" s="11"/>
      <c r="J13" s="11"/>
      <c r="K13" s="11"/>
      <c r="L13" s="11"/>
      <c r="M13" s="11"/>
      <c r="N13" s="11"/>
      <c r="O13" s="8" t="s">
        <v>529</v>
      </c>
      <c r="P13" s="2">
        <v>89109.57</v>
      </c>
    </row>
    <row r="14" spans="1:17" x14ac:dyDescent="0.35">
      <c r="A14" s="8"/>
      <c r="B14" s="11"/>
      <c r="C14" s="11"/>
      <c r="D14" s="8" t="s">
        <v>31</v>
      </c>
      <c r="E14" s="11">
        <v>15</v>
      </c>
      <c r="F14" s="11">
        <v>17</v>
      </c>
      <c r="G14" s="11">
        <v>4</v>
      </c>
      <c r="H14" s="11">
        <v>36</v>
      </c>
      <c r="I14" s="11"/>
      <c r="J14" s="11"/>
      <c r="K14" s="11"/>
      <c r="L14" s="11"/>
      <c r="M14" s="11"/>
      <c r="N14" s="11"/>
      <c r="O14" s="8" t="s">
        <v>490</v>
      </c>
      <c r="P14" s="2">
        <v>85288.55</v>
      </c>
    </row>
    <row r="15" spans="1:17" x14ac:dyDescent="0.35">
      <c r="A15" s="8"/>
      <c r="B15" s="11"/>
      <c r="C15" s="11"/>
      <c r="D15" s="8" t="s">
        <v>199</v>
      </c>
      <c r="E15" s="11">
        <v>12</v>
      </c>
      <c r="F15" s="11">
        <v>16</v>
      </c>
      <c r="G15" s="11">
        <v>5</v>
      </c>
      <c r="H15" s="11">
        <v>33</v>
      </c>
      <c r="I15" s="11"/>
      <c r="J15" s="11"/>
      <c r="K15" s="11"/>
      <c r="L15" s="11"/>
      <c r="M15" s="11"/>
      <c r="N15" s="11"/>
      <c r="O15" s="8" t="s">
        <v>207</v>
      </c>
      <c r="P15" s="2">
        <v>84009.88</v>
      </c>
    </row>
    <row r="16" spans="1:17" x14ac:dyDescent="0.35">
      <c r="A16" s="8"/>
      <c r="B16" s="11"/>
      <c r="C16" s="11"/>
      <c r="D16" s="8" t="s">
        <v>2535</v>
      </c>
      <c r="E16" s="11">
        <v>231</v>
      </c>
      <c r="F16" s="11">
        <v>238</v>
      </c>
      <c r="G16" s="11">
        <v>71</v>
      </c>
      <c r="H16" s="11">
        <v>540</v>
      </c>
      <c r="I16" s="11"/>
      <c r="J16" s="11"/>
      <c r="K16" s="11"/>
      <c r="L16" s="11"/>
      <c r="M16" s="11"/>
      <c r="N16" s="11"/>
      <c r="O16" s="8" t="s">
        <v>149</v>
      </c>
      <c r="P16" s="2">
        <v>83305.570000000007</v>
      </c>
    </row>
    <row r="17" spans="1:19" x14ac:dyDescent="0.35">
      <c r="A17" s="8"/>
      <c r="B17" s="11"/>
      <c r="C17" s="11"/>
      <c r="D17" s="11"/>
      <c r="E17" s="11"/>
      <c r="F17" s="11"/>
      <c r="G17" s="11"/>
      <c r="H17" s="11"/>
      <c r="I17" s="11"/>
      <c r="J17" s="11"/>
      <c r="K17" s="11"/>
      <c r="L17" s="11"/>
      <c r="M17" s="11"/>
      <c r="N17" s="11"/>
      <c r="O17" s="8" t="s">
        <v>2535</v>
      </c>
      <c r="P17" s="2">
        <v>439680.37</v>
      </c>
    </row>
    <row r="19" spans="1:19" ht="28.5" x14ac:dyDescent="0.65">
      <c r="A19" s="20"/>
      <c r="B19" s="18" t="s">
        <v>2557</v>
      </c>
      <c r="C19" s="18"/>
      <c r="D19" s="17"/>
      <c r="E19" s="17"/>
      <c r="F19" s="17"/>
      <c r="G19" s="17"/>
      <c r="H19" s="17"/>
      <c r="I19" s="20"/>
      <c r="J19" s="20"/>
      <c r="K19" s="20"/>
      <c r="L19" s="20"/>
      <c r="M19" s="20"/>
    </row>
    <row r="20" spans="1:19" x14ac:dyDescent="0.35">
      <c r="A20" s="15" t="s">
        <v>11</v>
      </c>
      <c r="B20" s="14" t="s">
        <v>2544</v>
      </c>
      <c r="C20" s="14" t="s">
        <v>2545</v>
      </c>
      <c r="D20" s="14" t="s">
        <v>2546</v>
      </c>
      <c r="E20" s="14" t="s">
        <v>2547</v>
      </c>
      <c r="F20" s="14" t="s">
        <v>2548</v>
      </c>
      <c r="G20" s="14" t="s">
        <v>2549</v>
      </c>
      <c r="H20" s="14" t="s">
        <v>2550</v>
      </c>
      <c r="I20" s="14" t="s">
        <v>2551</v>
      </c>
      <c r="J20" s="14" t="s">
        <v>2552</v>
      </c>
      <c r="K20" s="14" t="s">
        <v>2553</v>
      </c>
      <c r="L20" s="14" t="s">
        <v>2554</v>
      </c>
      <c r="M20" s="14" t="s">
        <v>2555</v>
      </c>
      <c r="O20" s="7" t="s">
        <v>2562</v>
      </c>
      <c r="P20" s="9" t="s">
        <v>2530</v>
      </c>
      <c r="Q20" s="10"/>
      <c r="R20" s="10"/>
      <c r="S20" s="10"/>
    </row>
    <row r="21" spans="1:19" x14ac:dyDescent="0.35">
      <c r="A21" s="16" t="s">
        <v>69</v>
      </c>
      <c r="B21" s="19">
        <v>348481.29</v>
      </c>
      <c r="C21" s="19">
        <v>231805.60000000003</v>
      </c>
      <c r="D21" s="19">
        <v>304994.69</v>
      </c>
      <c r="E21" s="19">
        <v>326603.57999999996</v>
      </c>
      <c r="F21" s="19">
        <v>343578.77999999997</v>
      </c>
      <c r="G21" s="19">
        <v>97152.639999999999</v>
      </c>
      <c r="H21" s="19">
        <v>343264.1</v>
      </c>
      <c r="I21" s="19">
        <v>164673.18000000002</v>
      </c>
      <c r="J21" s="19">
        <v>106887.89</v>
      </c>
      <c r="K21" s="19">
        <v>170183.72</v>
      </c>
      <c r="L21" s="19">
        <v>55078.45</v>
      </c>
      <c r="M21" s="19">
        <v>237397.34</v>
      </c>
      <c r="P21" s="10" t="s">
        <v>2538</v>
      </c>
      <c r="Q21" s="10" t="s">
        <v>2539</v>
      </c>
      <c r="R21" s="10" t="s">
        <v>2540</v>
      </c>
      <c r="S21" t="s">
        <v>2535</v>
      </c>
    </row>
    <row r="22" spans="1:19" x14ac:dyDescent="0.35">
      <c r="A22" s="16" t="s">
        <v>143</v>
      </c>
      <c r="B22" s="19">
        <v>7522.8</v>
      </c>
      <c r="C22" s="19">
        <v>184802.08</v>
      </c>
      <c r="D22" s="19">
        <v>62989.46</v>
      </c>
      <c r="E22" s="19">
        <v>59743.28</v>
      </c>
      <c r="F22" s="19">
        <v>82205.099999999991</v>
      </c>
      <c r="G22" s="19">
        <v>88463.459999999992</v>
      </c>
      <c r="H22" s="21"/>
      <c r="I22" s="19">
        <v>57539.61</v>
      </c>
      <c r="J22" s="19">
        <v>55425.3</v>
      </c>
      <c r="K22" s="19">
        <v>19885.72</v>
      </c>
      <c r="L22" s="19">
        <v>107598.39</v>
      </c>
      <c r="M22" s="19">
        <v>82941.84</v>
      </c>
      <c r="O22" s="9" t="s">
        <v>4</v>
      </c>
    </row>
    <row r="23" spans="1:19" x14ac:dyDescent="0.35">
      <c r="A23" s="16" t="s">
        <v>42</v>
      </c>
      <c r="B23" s="19">
        <v>181281.67</v>
      </c>
      <c r="C23" s="19">
        <v>51576.869999999995</v>
      </c>
      <c r="D23" s="19">
        <v>43171.49</v>
      </c>
      <c r="E23" s="19">
        <v>142672.81</v>
      </c>
      <c r="F23" s="19">
        <v>16429.2</v>
      </c>
      <c r="G23" s="19">
        <v>86064.989999999991</v>
      </c>
      <c r="H23" s="19">
        <v>35724.67</v>
      </c>
      <c r="I23" s="19">
        <v>167157.35</v>
      </c>
      <c r="J23" s="19">
        <v>143150.97</v>
      </c>
      <c r="K23" s="19">
        <v>29724.21</v>
      </c>
      <c r="L23" s="19">
        <v>47698.239999999998</v>
      </c>
      <c r="M23" s="19">
        <v>80087.09</v>
      </c>
      <c r="O23" s="8" t="s">
        <v>53</v>
      </c>
      <c r="P23" s="11">
        <v>248928.03000000003</v>
      </c>
      <c r="Q23" s="11">
        <v>296067.32</v>
      </c>
      <c r="R23" s="11">
        <v>221841.62</v>
      </c>
      <c r="S23" s="2">
        <v>766836.97000000009</v>
      </c>
    </row>
    <row r="24" spans="1:19" x14ac:dyDescent="0.35">
      <c r="A24" s="16" t="s">
        <v>2537</v>
      </c>
      <c r="B24" s="19">
        <v>78290.25</v>
      </c>
      <c r="C24" s="19">
        <v>123079.9</v>
      </c>
      <c r="D24" s="19">
        <v>4321.4799999999996</v>
      </c>
      <c r="E24" s="19">
        <v>11993.04</v>
      </c>
      <c r="F24" s="19">
        <v>30725.23</v>
      </c>
      <c r="G24" s="19">
        <v>15145.68</v>
      </c>
      <c r="H24" s="19">
        <v>55719.96</v>
      </c>
      <c r="I24" s="19">
        <v>76148.160000000003</v>
      </c>
      <c r="J24" s="19">
        <v>63323.839999999997</v>
      </c>
      <c r="K24" s="19">
        <v>69807.040000000008</v>
      </c>
      <c r="L24" s="19">
        <v>59554.96</v>
      </c>
      <c r="M24" s="19">
        <v>60411.659999999996</v>
      </c>
      <c r="O24" s="8" t="s">
        <v>45</v>
      </c>
      <c r="P24" s="11">
        <v>556584.15</v>
      </c>
      <c r="Q24" s="11">
        <v>459203.52000000008</v>
      </c>
      <c r="R24" s="11">
        <v>520636</v>
      </c>
      <c r="S24" s="2">
        <v>1536423.6700000002</v>
      </c>
    </row>
    <row r="25" spans="1:19" x14ac:dyDescent="0.35">
      <c r="A25" s="16" t="s">
        <v>55</v>
      </c>
      <c r="B25" s="19">
        <v>62987.6</v>
      </c>
      <c r="C25" s="19">
        <v>121487.32999999999</v>
      </c>
      <c r="D25" s="19">
        <v>92403.78</v>
      </c>
      <c r="E25" s="19">
        <v>81128.399999999994</v>
      </c>
      <c r="F25" s="19">
        <v>89924.48000000001</v>
      </c>
      <c r="G25" s="19">
        <v>20625.490000000002</v>
      </c>
      <c r="H25" s="19">
        <v>105545.84</v>
      </c>
      <c r="I25" s="19">
        <v>107867.2</v>
      </c>
      <c r="J25" s="19">
        <v>50895.96</v>
      </c>
      <c r="K25" s="19">
        <v>1061.8499999999999</v>
      </c>
      <c r="L25" s="19">
        <v>97886.080000000002</v>
      </c>
      <c r="M25" s="19">
        <v>45256.480000000003</v>
      </c>
      <c r="O25" s="8" t="s">
        <v>89</v>
      </c>
      <c r="P25" s="11">
        <v>444337.32000000007</v>
      </c>
      <c r="Q25" s="11">
        <v>315562.89000000007</v>
      </c>
      <c r="R25" s="11">
        <v>508550.44999999995</v>
      </c>
      <c r="S25" s="2">
        <v>1268450.6600000001</v>
      </c>
    </row>
    <row r="26" spans="1:19" x14ac:dyDescent="0.35">
      <c r="A26" s="16" t="s">
        <v>175</v>
      </c>
      <c r="B26" s="19">
        <v>105519.22</v>
      </c>
      <c r="C26" s="19">
        <v>35510.31</v>
      </c>
      <c r="D26" s="19">
        <v>20931.830000000002</v>
      </c>
      <c r="E26" s="19">
        <v>90359.47</v>
      </c>
      <c r="F26" s="19">
        <v>158784.13</v>
      </c>
      <c r="G26" s="21"/>
      <c r="H26" s="19">
        <v>43252.289999999994</v>
      </c>
      <c r="I26" s="19">
        <v>102432.18</v>
      </c>
      <c r="J26" s="19">
        <v>47809.72</v>
      </c>
      <c r="K26" s="19">
        <v>76545.77</v>
      </c>
      <c r="L26" s="19">
        <v>44662.869999999995</v>
      </c>
      <c r="M26" s="19">
        <v>73778.95</v>
      </c>
      <c r="O26" s="8" t="s">
        <v>230</v>
      </c>
      <c r="P26" s="11">
        <v>168365.92</v>
      </c>
      <c r="Q26" s="11">
        <v>118539.9</v>
      </c>
      <c r="R26" s="11">
        <v>144543.16</v>
      </c>
      <c r="S26" s="2">
        <v>431448.98</v>
      </c>
    </row>
    <row r="27" spans="1:19" x14ac:dyDescent="0.35">
      <c r="A27" s="16" t="s">
        <v>86</v>
      </c>
      <c r="B27" s="19">
        <v>26510.16</v>
      </c>
      <c r="C27" s="19">
        <v>119839.16</v>
      </c>
      <c r="D27" s="19">
        <v>188735.24</v>
      </c>
      <c r="E27" s="19">
        <v>122216.23</v>
      </c>
      <c r="F27" s="19">
        <v>18791.59</v>
      </c>
      <c r="G27" s="19">
        <v>127777.51</v>
      </c>
      <c r="H27" s="19">
        <v>66155.45</v>
      </c>
      <c r="I27" s="19">
        <v>32459.78</v>
      </c>
      <c r="J27" s="19">
        <v>82120.239999999991</v>
      </c>
      <c r="K27" s="19">
        <v>108646.37</v>
      </c>
      <c r="L27" s="19">
        <v>118228.73000000001</v>
      </c>
      <c r="M27" s="19">
        <v>14847.88</v>
      </c>
      <c r="O27" s="8" t="s">
        <v>146</v>
      </c>
      <c r="P27" s="11">
        <v>430625.30999999994</v>
      </c>
      <c r="Q27" s="11">
        <v>353052.52</v>
      </c>
      <c r="R27" s="11">
        <v>507386.18</v>
      </c>
      <c r="S27" s="2">
        <v>1291064.01</v>
      </c>
    </row>
    <row r="28" spans="1:19" x14ac:dyDescent="0.35">
      <c r="A28" s="16" t="s">
        <v>226</v>
      </c>
      <c r="B28" s="19">
        <v>110029.37999999999</v>
      </c>
      <c r="C28" s="19">
        <v>97892.739999999991</v>
      </c>
      <c r="D28" s="19">
        <v>75269.19</v>
      </c>
      <c r="E28" s="19">
        <v>88231.459999999992</v>
      </c>
      <c r="F28" s="19">
        <v>108340.54</v>
      </c>
      <c r="G28" s="19">
        <v>119922.19</v>
      </c>
      <c r="H28" s="21"/>
      <c r="I28" s="19">
        <v>127665.36</v>
      </c>
      <c r="J28" s="19">
        <v>49154.97</v>
      </c>
      <c r="K28" s="21"/>
      <c r="L28" s="19">
        <v>4280.78</v>
      </c>
      <c r="M28" s="19">
        <v>26490.25</v>
      </c>
      <c r="O28" s="8" t="s">
        <v>78</v>
      </c>
      <c r="P28" s="11">
        <v>269080.27</v>
      </c>
      <c r="Q28" s="11">
        <v>182328.81</v>
      </c>
      <c r="R28" s="11">
        <v>186734.94</v>
      </c>
      <c r="S28" s="2">
        <v>638144.02</v>
      </c>
    </row>
    <row r="29" spans="1:19" x14ac:dyDescent="0.35">
      <c r="A29" s="16" t="s">
        <v>103</v>
      </c>
      <c r="B29" s="19">
        <v>79296.820000000007</v>
      </c>
      <c r="C29" s="19">
        <v>79687.05</v>
      </c>
      <c r="D29" s="19">
        <v>53790.490000000005</v>
      </c>
      <c r="E29" s="19">
        <v>29732.58</v>
      </c>
      <c r="F29" s="19">
        <v>26010.78</v>
      </c>
      <c r="G29" s="19">
        <v>140449.63</v>
      </c>
      <c r="H29" s="19">
        <v>86645.13</v>
      </c>
      <c r="I29" s="19">
        <v>25106.560000000001</v>
      </c>
      <c r="J29" s="19">
        <v>43668.91</v>
      </c>
      <c r="K29" s="19">
        <v>61205.600000000006</v>
      </c>
      <c r="L29" s="19">
        <v>89748.83</v>
      </c>
      <c r="M29" s="19">
        <v>33727.47</v>
      </c>
      <c r="O29" s="8" t="s">
        <v>111</v>
      </c>
      <c r="P29" s="11">
        <v>341992.61000000004</v>
      </c>
      <c r="Q29" s="11">
        <v>329343.56</v>
      </c>
      <c r="R29" s="11">
        <v>284463.71999999997</v>
      </c>
      <c r="S29" s="2">
        <v>955799.89</v>
      </c>
    </row>
    <row r="30" spans="1:19" x14ac:dyDescent="0.35">
      <c r="A30" s="16" t="s">
        <v>107</v>
      </c>
      <c r="B30" s="19">
        <v>207609.3</v>
      </c>
      <c r="C30" s="19">
        <v>148420.28</v>
      </c>
      <c r="D30" s="19">
        <v>129087.04000000001</v>
      </c>
      <c r="E30" s="19">
        <v>154494.38</v>
      </c>
      <c r="F30" s="19">
        <v>100604.4</v>
      </c>
      <c r="G30" s="19">
        <v>130102.24</v>
      </c>
      <c r="H30" s="19">
        <v>190270.94</v>
      </c>
      <c r="I30" s="19">
        <v>311641.21999999997</v>
      </c>
      <c r="J30" s="19">
        <v>60725.66</v>
      </c>
      <c r="K30" s="19">
        <v>137697.63999999998</v>
      </c>
      <c r="L30" s="19">
        <v>101888.65</v>
      </c>
      <c r="M30" s="19">
        <v>204149.27999999997</v>
      </c>
      <c r="O30" s="8" t="s">
        <v>59</v>
      </c>
      <c r="P30" s="11">
        <v>90775.26</v>
      </c>
      <c r="Q30" s="11">
        <v>381527.74</v>
      </c>
      <c r="R30" s="11">
        <v>101766.38</v>
      </c>
      <c r="S30" s="2">
        <v>574069.38</v>
      </c>
    </row>
    <row r="31" spans="1:19" x14ac:dyDescent="0.35">
      <c r="A31" s="16" t="s">
        <v>31</v>
      </c>
      <c r="B31" s="19">
        <v>85482.390000000014</v>
      </c>
      <c r="C31" s="19">
        <v>77286.239999999991</v>
      </c>
      <c r="D31" s="19">
        <v>126256.84999999999</v>
      </c>
      <c r="E31" s="19">
        <v>40680.29</v>
      </c>
      <c r="F31" s="19">
        <v>135933.74</v>
      </c>
      <c r="G31" s="19">
        <v>33482.67</v>
      </c>
      <c r="H31" s="19">
        <v>153104.87</v>
      </c>
      <c r="I31" s="19">
        <v>76679.05</v>
      </c>
      <c r="J31" s="19">
        <v>48732.76</v>
      </c>
      <c r="K31" s="19">
        <v>18849.89</v>
      </c>
      <c r="L31" s="19">
        <v>4007.55</v>
      </c>
      <c r="M31" s="19">
        <v>5651.76</v>
      </c>
      <c r="O31" s="8" t="s">
        <v>73</v>
      </c>
      <c r="P31" s="11">
        <v>239999.88999999998</v>
      </c>
      <c r="Q31" s="11">
        <v>157525.81</v>
      </c>
      <c r="R31" s="11">
        <v>98004.03</v>
      </c>
      <c r="S31" s="2">
        <v>495529.73</v>
      </c>
    </row>
    <row r="32" spans="1:19" x14ac:dyDescent="0.35">
      <c r="A32" s="16" t="s">
        <v>199</v>
      </c>
      <c r="B32" s="19">
        <v>97477.610000000015</v>
      </c>
      <c r="C32" s="19">
        <v>66133.72</v>
      </c>
      <c r="D32" s="21"/>
      <c r="E32" s="19">
        <v>44697.979999999996</v>
      </c>
      <c r="F32" s="19">
        <v>36677.15</v>
      </c>
      <c r="G32" s="19">
        <v>178997.8</v>
      </c>
      <c r="H32" s="19">
        <v>43124.4</v>
      </c>
      <c r="I32" s="19">
        <v>69383.59</v>
      </c>
      <c r="J32" s="19">
        <v>143460.35999999999</v>
      </c>
      <c r="K32" s="19">
        <v>65239.25</v>
      </c>
      <c r="L32" s="19">
        <v>94083.349999999991</v>
      </c>
      <c r="M32" s="19">
        <v>29044.13</v>
      </c>
      <c r="O32" s="8" t="s">
        <v>84</v>
      </c>
      <c r="P32" s="11">
        <v>222910.2</v>
      </c>
      <c r="Q32" s="11">
        <v>113135.44</v>
      </c>
      <c r="R32" s="11">
        <v>110130.16</v>
      </c>
      <c r="S32" s="2">
        <v>446175.80000000005</v>
      </c>
    </row>
    <row r="33" spans="15:19" x14ac:dyDescent="0.35">
      <c r="O33" s="8" t="s">
        <v>16</v>
      </c>
      <c r="P33" s="11">
        <v>96411.049999999988</v>
      </c>
      <c r="Q33" s="11">
        <v>17514.28</v>
      </c>
      <c r="R33" s="11">
        <v>130209.15000000001</v>
      </c>
      <c r="S33" s="2">
        <v>244134.47999999998</v>
      </c>
    </row>
    <row r="34" spans="15:19" x14ac:dyDescent="0.35">
      <c r="O34" s="8" t="s">
        <v>24</v>
      </c>
      <c r="P34" s="11">
        <v>574019.56000000006</v>
      </c>
      <c r="Q34" s="11">
        <v>465587.87999999989</v>
      </c>
      <c r="R34" s="11">
        <v>664351.42000000004</v>
      </c>
      <c r="S34" s="2">
        <v>1703958.8599999999</v>
      </c>
    </row>
    <row r="35" spans="15:19" x14ac:dyDescent="0.35">
      <c r="O35" s="8" t="s">
        <v>217</v>
      </c>
      <c r="P35" s="11">
        <v>100971.09000000001</v>
      </c>
      <c r="Q35" s="11">
        <v>310062.06</v>
      </c>
      <c r="R35" s="11">
        <v>140186.94</v>
      </c>
      <c r="S35" s="2">
        <v>551220.09000000008</v>
      </c>
    </row>
    <row r="36" spans="15:19" x14ac:dyDescent="0.35">
      <c r="O36" s="8" t="s">
        <v>130</v>
      </c>
      <c r="P36" s="11">
        <v>329284.01000000007</v>
      </c>
      <c r="Q36" s="11">
        <v>366201.76</v>
      </c>
      <c r="R36" s="11">
        <v>568323.56999999995</v>
      </c>
      <c r="S36" s="2">
        <v>1263809.3399999999</v>
      </c>
    </row>
    <row r="37" spans="15:19" x14ac:dyDescent="0.35">
      <c r="O37" s="8" t="s">
        <v>119</v>
      </c>
      <c r="P37" s="11">
        <v>213319.56999999998</v>
      </c>
      <c r="Q37" s="11">
        <v>42009.09</v>
      </c>
      <c r="R37" s="11">
        <v>143944.31</v>
      </c>
      <c r="S37" s="2">
        <v>399272.97</v>
      </c>
    </row>
    <row r="38" spans="15:19" x14ac:dyDescent="0.35">
      <c r="O38" s="8" t="s">
        <v>115</v>
      </c>
      <c r="P38" s="11">
        <v>134577.07000000004</v>
      </c>
      <c r="Q38" s="11">
        <v>111635.45999999999</v>
      </c>
      <c r="R38" s="11">
        <v>210418.39000000004</v>
      </c>
      <c r="S38" s="2">
        <v>456630.92000000004</v>
      </c>
    </row>
    <row r="39" spans="15:19" x14ac:dyDescent="0.35">
      <c r="O39" s="8" t="s">
        <v>2535</v>
      </c>
      <c r="P39" s="11">
        <v>4462181.3100000005</v>
      </c>
      <c r="Q39" s="11">
        <v>4019298.04</v>
      </c>
      <c r="R39" s="11">
        <v>4541490.4199999981</v>
      </c>
      <c r="S39" s="2">
        <v>13022969.770000001</v>
      </c>
    </row>
  </sheetData>
  <conditionalFormatting sqref="B21:M32">
    <cfRule type="colorScale" priority="1">
      <colorScale>
        <cfvo type="min"/>
        <cfvo type="percentile" val="50"/>
        <cfvo type="max"/>
        <color theme="8" tint="0.59999389629810485"/>
        <color theme="8" tint="-0.249977111117893"/>
        <color theme="8" tint="-0.499984740745262"/>
      </colorScale>
    </cfRule>
    <cfRule type="colorScale" priority="2">
      <colorScale>
        <cfvo type="min"/>
        <cfvo type="percentile" val="50"/>
        <cfvo type="max"/>
        <color rgb="FF00B050"/>
        <color rgb="FFFFEB84"/>
        <color rgb="FFFF0000"/>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
  <sheetViews>
    <sheetView showGridLines="0" tabSelected="1" zoomScale="81" workbookViewId="0"/>
  </sheetViews>
  <sheetFormatPr defaultColWidth="15.453125" defaultRowHeight="19" customHeight="1" x14ac:dyDescent="0.35"/>
  <cols>
    <col min="1" max="1" width="14.7265625" style="29" customWidth="1"/>
    <col min="2" max="2" width="15.7265625" style="28" customWidth="1"/>
    <col min="3" max="11" width="15.453125" style="29"/>
    <col min="12" max="12" width="20.7265625" style="29" customWidth="1"/>
    <col min="13" max="13" width="12.81640625" style="29" customWidth="1"/>
    <col min="14" max="16384" width="15.453125" style="29"/>
  </cols>
  <sheetData>
    <row r="1" spans="2:13" s="25" customFormat="1" ht="31" customHeight="1" thickBot="1" x14ac:dyDescent="0.85">
      <c r="B1" s="24"/>
      <c r="E1" s="26" t="s">
        <v>2567</v>
      </c>
      <c r="F1" s="26"/>
    </row>
    <row r="2" spans="2:13" ht="21.5" customHeight="1" x14ac:dyDescent="0.35">
      <c r="C2" s="30" t="s">
        <v>2560</v>
      </c>
      <c r="F2" s="32" t="s">
        <v>2559</v>
      </c>
      <c r="J2" s="34" t="s">
        <v>2558</v>
      </c>
      <c r="M2" s="30" t="s">
        <v>2543</v>
      </c>
    </row>
    <row r="3" spans="2:13" ht="21" customHeight="1" thickBot="1" x14ac:dyDescent="0.4">
      <c r="C3" s="31">
        <f>COUNTA(Table1_3[Patient_ID])</f>
        <v>540</v>
      </c>
      <c r="F3" s="33">
        <f>AVERAGE(Table1_3[Age])</f>
        <v>46.761538461538464</v>
      </c>
      <c r="J3" s="35">
        <v>13022969.77</v>
      </c>
      <c r="M3" s="36">
        <f>COUNTIF(Old_Patient_Records!$K$2:$K$549,"Yes")/COUNTA(Old_Patient_Records!$A$2:$A$549)</f>
        <v>0.14233576642335766</v>
      </c>
    </row>
    <row r="4" spans="2:13" ht="19" customHeight="1" x14ac:dyDescent="0.35">
      <c r="L4" s="27" t="s">
        <v>2568</v>
      </c>
      <c r="M4" s="27"/>
    </row>
    <row r="5" spans="2:13" ht="14.5" x14ac:dyDescent="0.35">
      <c r="L5" s="40" t="s">
        <v>2569</v>
      </c>
      <c r="M5" s="37" t="s">
        <v>2556</v>
      </c>
    </row>
    <row r="6" spans="2:13" ht="15.5" x14ac:dyDescent="0.35">
      <c r="L6" s="38" t="s">
        <v>207</v>
      </c>
      <c r="M6" s="39">
        <v>84009.88</v>
      </c>
    </row>
    <row r="7" spans="2:13" ht="15.5" x14ac:dyDescent="0.35">
      <c r="L7" s="38" t="s">
        <v>149</v>
      </c>
      <c r="M7" s="39">
        <v>83305.570000000007</v>
      </c>
    </row>
    <row r="8" spans="2:13" ht="15.5" x14ac:dyDescent="0.35">
      <c r="L8" s="38" t="s">
        <v>529</v>
      </c>
      <c r="M8" s="39">
        <v>89109.57</v>
      </c>
    </row>
    <row r="9" spans="2:13" ht="15.5" x14ac:dyDescent="0.35">
      <c r="L9" s="38" t="s">
        <v>279</v>
      </c>
      <c r="M9" s="39">
        <v>97966.799999999988</v>
      </c>
    </row>
    <row r="10" spans="2:13" ht="15.5" x14ac:dyDescent="0.35">
      <c r="L10" s="38" t="s">
        <v>490</v>
      </c>
      <c r="M10" s="39">
        <v>85288.55</v>
      </c>
    </row>
  </sheetData>
  <pageMargins left="0.7" right="0.7" top="0.75" bottom="0.75" header="0.3" footer="0.3"/>
  <pageSetup orientation="portrait" horizontalDpi="4294967293" verticalDpi="0"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64AF4-EC45-47F8-893A-5ECCB5E62A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Old_Patient_Records</vt:lpstr>
      <vt:lpstr>Updated_Records</vt:lpstr>
      <vt:lpstr>Doctor_Reference</vt:lpstr>
      <vt:lpstr>Lab_Results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dc:creator>
  <cp:lastModifiedBy>master</cp:lastModifiedBy>
  <dcterms:created xsi:type="dcterms:W3CDTF">2026-06-21T18:01:43Z</dcterms:created>
  <dcterms:modified xsi:type="dcterms:W3CDTF">2026-07-17T17:39:16Z</dcterms:modified>
</cp:coreProperties>
</file>